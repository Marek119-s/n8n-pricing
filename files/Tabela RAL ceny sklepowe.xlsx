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ane\tymczasowe\N8N\"/>
    </mc:Choice>
  </mc:AlternateContent>
  <xr:revisionPtr revIDLastSave="0" documentId="13_ncr:1_{BE4847D7-4437-4579-B6BE-325083041450}" xr6:coauthVersionLast="47" xr6:coauthVersionMax="47" xr10:uidLastSave="{00000000-0000-0000-0000-000000000000}"/>
  <bookViews>
    <workbookView xWindow="768" yWindow="768" windowWidth="17280" windowHeight="9960" activeTab="1" xr2:uid="{00000000-000D-0000-FFFF-FFFF00000000}"/>
  </bookViews>
  <sheets>
    <sheet name="110 Conseal" sheetId="1" r:id="rId1"/>
    <sheet name="120 Pilot ACR" sheetId="2" r:id="rId2"/>
  </sheets>
  <calcPr calcId="181029"/>
</workbook>
</file>

<file path=xl/calcChain.xml><?xml version="1.0" encoding="utf-8"?>
<calcChain xmlns="http://schemas.openxmlformats.org/spreadsheetml/2006/main">
  <c r="N123" i="2" l="1"/>
  <c r="P123" i="2" s="1"/>
  <c r="I123" i="2"/>
  <c r="K123" i="2" s="1"/>
  <c r="N122" i="2"/>
  <c r="P122" i="2" s="1"/>
  <c r="I122" i="2"/>
  <c r="K122" i="2" s="1"/>
  <c r="O121" i="2"/>
  <c r="Q121" i="2" s="1"/>
  <c r="R121" i="2" s="1"/>
  <c r="N121" i="2"/>
  <c r="P121" i="2" s="1"/>
  <c r="J121" i="2"/>
  <c r="I121" i="2"/>
  <c r="K121" i="2" s="1"/>
  <c r="N120" i="2"/>
  <c r="P120" i="2" s="1"/>
  <c r="K120" i="2"/>
  <c r="J120" i="2"/>
  <c r="L120" i="2" s="1"/>
  <c r="M120" i="2" s="1"/>
  <c r="I120" i="2"/>
  <c r="N119" i="2"/>
  <c r="P119" i="2" s="1"/>
  <c r="K119" i="2"/>
  <c r="J119" i="2"/>
  <c r="L119" i="2" s="1"/>
  <c r="M119" i="2" s="1"/>
  <c r="I119" i="2"/>
  <c r="N118" i="2"/>
  <c r="P118" i="2" s="1"/>
  <c r="K118" i="2"/>
  <c r="J118" i="2"/>
  <c r="L118" i="2" s="1"/>
  <c r="M118" i="2" s="1"/>
  <c r="I118" i="2"/>
  <c r="N117" i="2"/>
  <c r="P117" i="2" s="1"/>
  <c r="I117" i="2"/>
  <c r="K117" i="2" s="1"/>
  <c r="P116" i="2"/>
  <c r="N116" i="2"/>
  <c r="O116" i="2" s="1"/>
  <c r="Q116" i="2" s="1"/>
  <c r="R116" i="2" s="1"/>
  <c r="I116" i="2"/>
  <c r="P115" i="2"/>
  <c r="O115" i="2"/>
  <c r="Q115" i="2" s="1"/>
  <c r="R115" i="2" s="1"/>
  <c r="N115" i="2"/>
  <c r="I115" i="2"/>
  <c r="K115" i="2" s="1"/>
  <c r="P114" i="2"/>
  <c r="O114" i="2"/>
  <c r="Q114" i="2" s="1"/>
  <c r="R114" i="2" s="1"/>
  <c r="N114" i="2"/>
  <c r="K114" i="2"/>
  <c r="I114" i="2"/>
  <c r="J114" i="2" s="1"/>
  <c r="L114" i="2" s="1"/>
  <c r="M114" i="2" s="1"/>
  <c r="N113" i="2"/>
  <c r="P113" i="2" s="1"/>
  <c r="K113" i="2"/>
  <c r="L113" i="2" s="1"/>
  <c r="M113" i="2" s="1"/>
  <c r="J113" i="2"/>
  <c r="I113" i="2"/>
  <c r="N112" i="2"/>
  <c r="P112" i="2" s="1"/>
  <c r="K112" i="2"/>
  <c r="J112" i="2"/>
  <c r="L112" i="2" s="1"/>
  <c r="M112" i="2" s="1"/>
  <c r="I112" i="2"/>
  <c r="N111" i="2"/>
  <c r="P111" i="2" s="1"/>
  <c r="K111" i="2"/>
  <c r="J111" i="2"/>
  <c r="L111" i="2" s="1"/>
  <c r="M111" i="2" s="1"/>
  <c r="I111" i="2"/>
  <c r="N110" i="2"/>
  <c r="P110" i="2" s="1"/>
  <c r="I110" i="2"/>
  <c r="P109" i="2"/>
  <c r="N109" i="2"/>
  <c r="O109" i="2" s="1"/>
  <c r="Q109" i="2" s="1"/>
  <c r="R109" i="2" s="1"/>
  <c r="I109" i="2"/>
  <c r="P108" i="2"/>
  <c r="O108" i="2"/>
  <c r="Q108" i="2" s="1"/>
  <c r="R108" i="2" s="1"/>
  <c r="N108" i="2"/>
  <c r="I108" i="2"/>
  <c r="K108" i="2" s="1"/>
  <c r="P107" i="2"/>
  <c r="O107" i="2"/>
  <c r="Q107" i="2" s="1"/>
  <c r="R107" i="2" s="1"/>
  <c r="N107" i="2"/>
  <c r="K107" i="2"/>
  <c r="I107" i="2"/>
  <c r="J107" i="2" s="1"/>
  <c r="L107" i="2" s="1"/>
  <c r="M107" i="2" s="1"/>
  <c r="N106" i="2"/>
  <c r="P106" i="2" s="1"/>
  <c r="K106" i="2"/>
  <c r="L106" i="2" s="1"/>
  <c r="M106" i="2" s="1"/>
  <c r="J106" i="2"/>
  <c r="I106" i="2"/>
  <c r="N105" i="2"/>
  <c r="P105" i="2" s="1"/>
  <c r="K105" i="2"/>
  <c r="J105" i="2"/>
  <c r="L105" i="2" s="1"/>
  <c r="M105" i="2" s="1"/>
  <c r="I105" i="2"/>
  <c r="N104" i="2"/>
  <c r="P104" i="2" s="1"/>
  <c r="K104" i="2"/>
  <c r="J104" i="2"/>
  <c r="L104" i="2" s="1"/>
  <c r="M104" i="2" s="1"/>
  <c r="I104" i="2"/>
  <c r="N103" i="2"/>
  <c r="P103" i="2" s="1"/>
  <c r="I103" i="2"/>
  <c r="P102" i="2"/>
  <c r="N102" i="2"/>
  <c r="O102" i="2" s="1"/>
  <c r="Q102" i="2" s="1"/>
  <c r="R102" i="2" s="1"/>
  <c r="I102" i="2"/>
  <c r="P101" i="2"/>
  <c r="O101" i="2"/>
  <c r="Q101" i="2" s="1"/>
  <c r="R101" i="2" s="1"/>
  <c r="N101" i="2"/>
  <c r="I101" i="2"/>
  <c r="K101" i="2" s="1"/>
  <c r="P100" i="2"/>
  <c r="O100" i="2"/>
  <c r="Q100" i="2" s="1"/>
  <c r="R100" i="2" s="1"/>
  <c r="N100" i="2"/>
  <c r="K100" i="2"/>
  <c r="I100" i="2"/>
  <c r="J100" i="2" s="1"/>
  <c r="L100" i="2" s="1"/>
  <c r="M100" i="2" s="1"/>
  <c r="N99" i="2"/>
  <c r="P99" i="2" s="1"/>
  <c r="K99" i="2"/>
  <c r="L99" i="2" s="1"/>
  <c r="M99" i="2" s="1"/>
  <c r="J99" i="2"/>
  <c r="I99" i="2"/>
  <c r="N98" i="2"/>
  <c r="P98" i="2" s="1"/>
  <c r="K98" i="2"/>
  <c r="J98" i="2"/>
  <c r="L98" i="2" s="1"/>
  <c r="M98" i="2" s="1"/>
  <c r="I98" i="2"/>
  <c r="N97" i="2"/>
  <c r="P97" i="2" s="1"/>
  <c r="K97" i="2"/>
  <c r="J97" i="2"/>
  <c r="L97" i="2" s="1"/>
  <c r="M97" i="2" s="1"/>
  <c r="I97" i="2"/>
  <c r="N96" i="2"/>
  <c r="P96" i="2" s="1"/>
  <c r="I96" i="2"/>
  <c r="P95" i="2"/>
  <c r="N95" i="2"/>
  <c r="O95" i="2" s="1"/>
  <c r="Q95" i="2" s="1"/>
  <c r="R95" i="2" s="1"/>
  <c r="I95" i="2"/>
  <c r="P94" i="2"/>
  <c r="O94" i="2"/>
  <c r="Q94" i="2" s="1"/>
  <c r="R94" i="2" s="1"/>
  <c r="N94" i="2"/>
  <c r="I94" i="2"/>
  <c r="K94" i="2" s="1"/>
  <c r="P93" i="2"/>
  <c r="O93" i="2"/>
  <c r="Q93" i="2" s="1"/>
  <c r="R93" i="2" s="1"/>
  <c r="N93" i="2"/>
  <c r="K93" i="2"/>
  <c r="I93" i="2"/>
  <c r="J93" i="2" s="1"/>
  <c r="L93" i="2" s="1"/>
  <c r="M93" i="2" s="1"/>
  <c r="N92" i="2"/>
  <c r="P92" i="2" s="1"/>
  <c r="K92" i="2"/>
  <c r="L92" i="2" s="1"/>
  <c r="M92" i="2" s="1"/>
  <c r="J92" i="2"/>
  <c r="I92" i="2"/>
  <c r="N91" i="2"/>
  <c r="P91" i="2" s="1"/>
  <c r="K91" i="2"/>
  <c r="J91" i="2"/>
  <c r="L91" i="2" s="1"/>
  <c r="M91" i="2" s="1"/>
  <c r="I91" i="2"/>
  <c r="N90" i="2"/>
  <c r="P90" i="2" s="1"/>
  <c r="M90" i="2"/>
  <c r="K90" i="2"/>
  <c r="J90" i="2"/>
  <c r="L90" i="2" s="1"/>
  <c r="I90" i="2"/>
  <c r="N89" i="2"/>
  <c r="I89" i="2"/>
  <c r="P88" i="2"/>
  <c r="N88" i="2"/>
  <c r="O88" i="2" s="1"/>
  <c r="Q88" i="2" s="1"/>
  <c r="R88" i="2" s="1"/>
  <c r="I88" i="2"/>
  <c r="K88" i="2" s="1"/>
  <c r="P87" i="2"/>
  <c r="O87" i="2"/>
  <c r="Q87" i="2" s="1"/>
  <c r="R87" i="2" s="1"/>
  <c r="N87" i="2"/>
  <c r="I87" i="2"/>
  <c r="K87" i="2" s="1"/>
  <c r="P86" i="2"/>
  <c r="O86" i="2"/>
  <c r="N86" i="2"/>
  <c r="K86" i="2"/>
  <c r="I86" i="2"/>
  <c r="J86" i="2" s="1"/>
  <c r="N85" i="2"/>
  <c r="P85" i="2" s="1"/>
  <c r="K85" i="2"/>
  <c r="L85" i="2" s="1"/>
  <c r="M85" i="2" s="1"/>
  <c r="J85" i="2"/>
  <c r="I85" i="2"/>
  <c r="N84" i="2"/>
  <c r="P84" i="2" s="1"/>
  <c r="K84" i="2"/>
  <c r="J84" i="2"/>
  <c r="L84" i="2" s="1"/>
  <c r="M84" i="2" s="1"/>
  <c r="I84" i="2"/>
  <c r="N83" i="2"/>
  <c r="K83" i="2"/>
  <c r="J83" i="2"/>
  <c r="L83" i="2" s="1"/>
  <c r="M83" i="2" s="1"/>
  <c r="I83" i="2"/>
  <c r="N82" i="2"/>
  <c r="I82" i="2"/>
  <c r="K82" i="2" s="1"/>
  <c r="P81" i="2"/>
  <c r="N81" i="2"/>
  <c r="O81" i="2" s="1"/>
  <c r="Q81" i="2" s="1"/>
  <c r="R81" i="2" s="1"/>
  <c r="J81" i="2"/>
  <c r="L81" i="2" s="1"/>
  <c r="M81" i="2" s="1"/>
  <c r="I81" i="2"/>
  <c r="K81" i="2" s="1"/>
  <c r="P80" i="2"/>
  <c r="O80" i="2"/>
  <c r="Q80" i="2" s="1"/>
  <c r="R80" i="2" s="1"/>
  <c r="N80" i="2"/>
  <c r="I80" i="2"/>
  <c r="K80" i="2" s="1"/>
  <c r="P79" i="2"/>
  <c r="O79" i="2"/>
  <c r="Q79" i="2" s="1"/>
  <c r="R79" i="2" s="1"/>
  <c r="N79" i="2"/>
  <c r="K79" i="2"/>
  <c r="I79" i="2"/>
  <c r="J79" i="2" s="1"/>
  <c r="L79" i="2" s="1"/>
  <c r="M79" i="2" s="1"/>
  <c r="N78" i="2"/>
  <c r="P78" i="2" s="1"/>
  <c r="K78" i="2"/>
  <c r="L78" i="2" s="1"/>
  <c r="M78" i="2" s="1"/>
  <c r="J78" i="2"/>
  <c r="I78" i="2"/>
  <c r="N77" i="2"/>
  <c r="P77" i="2" s="1"/>
  <c r="K77" i="2"/>
  <c r="J77" i="2"/>
  <c r="L77" i="2" s="1"/>
  <c r="M77" i="2" s="1"/>
  <c r="I77" i="2"/>
  <c r="N76" i="2"/>
  <c r="K76" i="2"/>
  <c r="J76" i="2"/>
  <c r="L76" i="2" s="1"/>
  <c r="M76" i="2" s="1"/>
  <c r="I76" i="2"/>
  <c r="N75" i="2"/>
  <c r="I75" i="2"/>
  <c r="K75" i="2" s="1"/>
  <c r="P74" i="2"/>
  <c r="N74" i="2"/>
  <c r="O74" i="2" s="1"/>
  <c r="Q74" i="2" s="1"/>
  <c r="R74" i="2" s="1"/>
  <c r="I74" i="2"/>
  <c r="K74" i="2" s="1"/>
  <c r="P73" i="2"/>
  <c r="O73" i="2"/>
  <c r="Q73" i="2" s="1"/>
  <c r="R73" i="2" s="1"/>
  <c r="N73" i="2"/>
  <c r="I73" i="2"/>
  <c r="K73" i="2" s="1"/>
  <c r="P72" i="2"/>
  <c r="O72" i="2"/>
  <c r="N72" i="2"/>
  <c r="K72" i="2"/>
  <c r="I72" i="2"/>
  <c r="J72" i="2" s="1"/>
  <c r="L72" i="2" s="1"/>
  <c r="M72" i="2" s="1"/>
  <c r="N71" i="2"/>
  <c r="P71" i="2" s="1"/>
  <c r="K71" i="2"/>
  <c r="L71" i="2" s="1"/>
  <c r="M71" i="2" s="1"/>
  <c r="J71" i="2"/>
  <c r="I71" i="2"/>
  <c r="N70" i="2"/>
  <c r="P70" i="2" s="1"/>
  <c r="K70" i="2"/>
  <c r="J70" i="2"/>
  <c r="L70" i="2" s="1"/>
  <c r="M70" i="2" s="1"/>
  <c r="I70" i="2"/>
  <c r="N69" i="2"/>
  <c r="K69" i="2"/>
  <c r="J69" i="2"/>
  <c r="L69" i="2" s="1"/>
  <c r="M69" i="2" s="1"/>
  <c r="I69" i="2"/>
  <c r="N68" i="2"/>
  <c r="I68" i="2"/>
  <c r="K68" i="2" s="1"/>
  <c r="P67" i="2"/>
  <c r="N67" i="2"/>
  <c r="O67" i="2" s="1"/>
  <c r="Q67" i="2" s="1"/>
  <c r="R67" i="2" s="1"/>
  <c r="I67" i="2"/>
  <c r="K67" i="2" s="1"/>
  <c r="P66" i="2"/>
  <c r="O66" i="2"/>
  <c r="Q66" i="2" s="1"/>
  <c r="R66" i="2" s="1"/>
  <c r="N66" i="2"/>
  <c r="I66" i="2"/>
  <c r="K66" i="2" s="1"/>
  <c r="P65" i="2"/>
  <c r="O65" i="2"/>
  <c r="Q65" i="2" s="1"/>
  <c r="R65" i="2" s="1"/>
  <c r="N65" i="2"/>
  <c r="K65" i="2"/>
  <c r="I65" i="2"/>
  <c r="J65" i="2" s="1"/>
  <c r="L65" i="2" s="1"/>
  <c r="M65" i="2" s="1"/>
  <c r="N64" i="2"/>
  <c r="P64" i="2" s="1"/>
  <c r="K64" i="2"/>
  <c r="L64" i="2" s="1"/>
  <c r="M64" i="2" s="1"/>
  <c r="J64" i="2"/>
  <c r="I64" i="2"/>
  <c r="N63" i="2"/>
  <c r="P63" i="2" s="1"/>
  <c r="K63" i="2"/>
  <c r="J63" i="2"/>
  <c r="L63" i="2" s="1"/>
  <c r="M63" i="2" s="1"/>
  <c r="I63" i="2"/>
  <c r="N62" i="2"/>
  <c r="M62" i="2"/>
  <c r="K62" i="2"/>
  <c r="J62" i="2"/>
  <c r="L62" i="2" s="1"/>
  <c r="I62" i="2"/>
  <c r="N61" i="2"/>
  <c r="I61" i="2"/>
  <c r="K61" i="2" s="1"/>
  <c r="P60" i="2"/>
  <c r="N60" i="2"/>
  <c r="O60" i="2" s="1"/>
  <c r="Q60" i="2" s="1"/>
  <c r="R60" i="2" s="1"/>
  <c r="I60" i="2"/>
  <c r="K60" i="2" s="1"/>
  <c r="P59" i="2"/>
  <c r="O59" i="2"/>
  <c r="Q59" i="2" s="1"/>
  <c r="R59" i="2" s="1"/>
  <c r="N59" i="2"/>
  <c r="I59" i="2"/>
  <c r="K59" i="2" s="1"/>
  <c r="P58" i="2"/>
  <c r="O58" i="2"/>
  <c r="N58" i="2"/>
  <c r="K58" i="2"/>
  <c r="I58" i="2"/>
  <c r="J58" i="2" s="1"/>
  <c r="L58" i="2" s="1"/>
  <c r="M58" i="2" s="1"/>
  <c r="N57" i="2"/>
  <c r="P57" i="2" s="1"/>
  <c r="K57" i="2"/>
  <c r="L57" i="2" s="1"/>
  <c r="M57" i="2" s="1"/>
  <c r="J57" i="2"/>
  <c r="I57" i="2"/>
  <c r="N56" i="2"/>
  <c r="K56" i="2"/>
  <c r="J56" i="2"/>
  <c r="L56" i="2" s="1"/>
  <c r="M56" i="2" s="1"/>
  <c r="I56" i="2"/>
  <c r="N55" i="2"/>
  <c r="K55" i="2"/>
  <c r="J55" i="2"/>
  <c r="L55" i="2" s="1"/>
  <c r="M55" i="2" s="1"/>
  <c r="I55" i="2"/>
  <c r="N54" i="2"/>
  <c r="I54" i="2"/>
  <c r="K54" i="2" s="1"/>
  <c r="P53" i="2"/>
  <c r="N53" i="2"/>
  <c r="O53" i="2" s="1"/>
  <c r="Q53" i="2" s="1"/>
  <c r="R53" i="2" s="1"/>
  <c r="I53" i="2"/>
  <c r="K53" i="2" s="1"/>
  <c r="P52" i="2"/>
  <c r="O52" i="2"/>
  <c r="Q52" i="2" s="1"/>
  <c r="R52" i="2" s="1"/>
  <c r="N52" i="2"/>
  <c r="I52" i="2"/>
  <c r="K52" i="2" s="1"/>
  <c r="P51" i="2"/>
  <c r="O51" i="2"/>
  <c r="Q51" i="2" s="1"/>
  <c r="R51" i="2" s="1"/>
  <c r="N51" i="2"/>
  <c r="K51" i="2"/>
  <c r="I51" i="2"/>
  <c r="J51" i="2" s="1"/>
  <c r="L51" i="2" s="1"/>
  <c r="M51" i="2" s="1"/>
  <c r="N50" i="2"/>
  <c r="P50" i="2" s="1"/>
  <c r="K50" i="2"/>
  <c r="L50" i="2" s="1"/>
  <c r="M50" i="2" s="1"/>
  <c r="J50" i="2"/>
  <c r="I50" i="2"/>
  <c r="N49" i="2"/>
  <c r="K49" i="2"/>
  <c r="J49" i="2"/>
  <c r="L49" i="2" s="1"/>
  <c r="M49" i="2" s="1"/>
  <c r="I49" i="2"/>
  <c r="N48" i="2"/>
  <c r="K48" i="2"/>
  <c r="J48" i="2"/>
  <c r="L48" i="2" s="1"/>
  <c r="M48" i="2" s="1"/>
  <c r="I48" i="2"/>
  <c r="N47" i="2"/>
  <c r="I47" i="2"/>
  <c r="K47" i="2" s="1"/>
  <c r="P46" i="2"/>
  <c r="N46" i="2"/>
  <c r="O46" i="2" s="1"/>
  <c r="I46" i="2"/>
  <c r="K46" i="2" s="1"/>
  <c r="P45" i="2"/>
  <c r="O45" i="2"/>
  <c r="Q45" i="2" s="1"/>
  <c r="R45" i="2" s="1"/>
  <c r="N45" i="2"/>
  <c r="I45" i="2"/>
  <c r="K45" i="2" s="1"/>
  <c r="P44" i="2"/>
  <c r="O44" i="2"/>
  <c r="Q44" i="2" s="1"/>
  <c r="R44" i="2" s="1"/>
  <c r="N44" i="2"/>
  <c r="K44" i="2"/>
  <c r="I44" i="2"/>
  <c r="J44" i="2" s="1"/>
  <c r="L44" i="2" s="1"/>
  <c r="M44" i="2" s="1"/>
  <c r="N43" i="2"/>
  <c r="L43" i="2"/>
  <c r="M43" i="2" s="1"/>
  <c r="K43" i="2"/>
  <c r="J43" i="2"/>
  <c r="I43" i="2"/>
  <c r="N42" i="2"/>
  <c r="K42" i="2"/>
  <c r="J42" i="2"/>
  <c r="L42" i="2" s="1"/>
  <c r="M42" i="2" s="1"/>
  <c r="I42" i="2"/>
  <c r="N41" i="2"/>
  <c r="K41" i="2"/>
  <c r="J41" i="2"/>
  <c r="L41" i="2" s="1"/>
  <c r="M41" i="2" s="1"/>
  <c r="I41" i="2"/>
  <c r="N40" i="2"/>
  <c r="I40" i="2"/>
  <c r="K40" i="2" s="1"/>
  <c r="P39" i="2"/>
  <c r="N39" i="2"/>
  <c r="O39" i="2" s="1"/>
  <c r="Q39" i="2" s="1"/>
  <c r="R39" i="2" s="1"/>
  <c r="I39" i="2"/>
  <c r="K39" i="2" s="1"/>
  <c r="P38" i="2"/>
  <c r="O38" i="2"/>
  <c r="N38" i="2"/>
  <c r="I38" i="2"/>
  <c r="K38" i="2" s="1"/>
  <c r="R37" i="2"/>
  <c r="P37" i="2"/>
  <c r="O37" i="2"/>
  <c r="Q37" i="2" s="1"/>
  <c r="N37" i="2"/>
  <c r="K37" i="2"/>
  <c r="I37" i="2"/>
  <c r="J37" i="2" s="1"/>
  <c r="L37" i="2" s="1"/>
  <c r="M37" i="2" s="1"/>
  <c r="N36" i="2"/>
  <c r="L36" i="2"/>
  <c r="M36" i="2" s="1"/>
  <c r="K36" i="2"/>
  <c r="J36" i="2"/>
  <c r="I36" i="2"/>
  <c r="N35" i="2"/>
  <c r="K35" i="2"/>
  <c r="J35" i="2"/>
  <c r="L35" i="2" s="1"/>
  <c r="M35" i="2" s="1"/>
  <c r="I35" i="2"/>
  <c r="N34" i="2"/>
  <c r="M34" i="2"/>
  <c r="K34" i="2"/>
  <c r="J34" i="2"/>
  <c r="L34" i="2" s="1"/>
  <c r="I34" i="2"/>
  <c r="P33" i="2"/>
  <c r="N33" i="2"/>
  <c r="O33" i="2" s="1"/>
  <c r="I33" i="2"/>
  <c r="K33" i="2" s="1"/>
  <c r="P32" i="2"/>
  <c r="Q32" i="2" s="1"/>
  <c r="R32" i="2" s="1"/>
  <c r="O32" i="2"/>
  <c r="N32" i="2"/>
  <c r="I32" i="2"/>
  <c r="K32" i="2" s="1"/>
  <c r="P31" i="2"/>
  <c r="O31" i="2"/>
  <c r="N31" i="2"/>
  <c r="I31" i="2"/>
  <c r="K31" i="2" s="1"/>
  <c r="R30" i="2"/>
  <c r="P30" i="2"/>
  <c r="O30" i="2"/>
  <c r="Q30" i="2" s="1"/>
  <c r="N30" i="2"/>
  <c r="K30" i="2"/>
  <c r="I30" i="2"/>
  <c r="J30" i="2" s="1"/>
  <c r="L30" i="2" s="1"/>
  <c r="M30" i="2" s="1"/>
  <c r="N29" i="2"/>
  <c r="L29" i="2"/>
  <c r="M29" i="2" s="1"/>
  <c r="K29" i="2"/>
  <c r="J29" i="2"/>
  <c r="I29" i="2"/>
  <c r="N28" i="2"/>
  <c r="K28" i="2"/>
  <c r="J28" i="2"/>
  <c r="L28" i="2" s="1"/>
  <c r="M28" i="2" s="1"/>
  <c r="I28" i="2"/>
  <c r="N27" i="2"/>
  <c r="M27" i="2"/>
  <c r="K27" i="2"/>
  <c r="J27" i="2"/>
  <c r="L27" i="2" s="1"/>
  <c r="I27" i="2"/>
  <c r="P26" i="2"/>
  <c r="N26" i="2"/>
  <c r="O26" i="2" s="1"/>
  <c r="I26" i="2"/>
  <c r="K26" i="2" s="1"/>
  <c r="P25" i="2"/>
  <c r="Q25" i="2" s="1"/>
  <c r="R25" i="2" s="1"/>
  <c r="O25" i="2"/>
  <c r="N25" i="2"/>
  <c r="I25" i="2"/>
  <c r="K25" i="2" s="1"/>
  <c r="P24" i="2"/>
  <c r="O24" i="2"/>
  <c r="N24" i="2"/>
  <c r="I24" i="2"/>
  <c r="K24" i="2" s="1"/>
  <c r="R23" i="2"/>
  <c r="P23" i="2"/>
  <c r="O23" i="2"/>
  <c r="Q23" i="2" s="1"/>
  <c r="N23" i="2"/>
  <c r="K23" i="2"/>
  <c r="I23" i="2"/>
  <c r="J23" i="2" s="1"/>
  <c r="L23" i="2" s="1"/>
  <c r="M23" i="2" s="1"/>
  <c r="N22" i="2"/>
  <c r="L22" i="2"/>
  <c r="M22" i="2" s="1"/>
  <c r="K22" i="2"/>
  <c r="J22" i="2"/>
  <c r="I22" i="2"/>
  <c r="N21" i="2"/>
  <c r="K21" i="2"/>
  <c r="J21" i="2"/>
  <c r="L21" i="2" s="1"/>
  <c r="M21" i="2" s="1"/>
  <c r="I21" i="2"/>
  <c r="N20" i="2"/>
  <c r="M20" i="2"/>
  <c r="K20" i="2"/>
  <c r="J20" i="2"/>
  <c r="L20" i="2" s="1"/>
  <c r="I20" i="2"/>
  <c r="P19" i="2"/>
  <c r="N19" i="2"/>
  <c r="O19" i="2" s="1"/>
  <c r="I19" i="2"/>
  <c r="K19" i="2" s="1"/>
  <c r="P18" i="2"/>
  <c r="Q18" i="2" s="1"/>
  <c r="R18" i="2" s="1"/>
  <c r="O18" i="2"/>
  <c r="N18" i="2"/>
  <c r="I18" i="2"/>
  <c r="K18" i="2" s="1"/>
  <c r="P17" i="2"/>
  <c r="O17" i="2"/>
  <c r="N17" i="2"/>
  <c r="I17" i="2"/>
  <c r="K17" i="2" s="1"/>
  <c r="R16" i="2"/>
  <c r="P16" i="2"/>
  <c r="O16" i="2"/>
  <c r="Q16" i="2" s="1"/>
  <c r="N16" i="2"/>
  <c r="K16" i="2"/>
  <c r="I16" i="2"/>
  <c r="J16" i="2" s="1"/>
  <c r="L16" i="2" s="1"/>
  <c r="M16" i="2" s="1"/>
  <c r="N15" i="2"/>
  <c r="L15" i="2"/>
  <c r="M15" i="2" s="1"/>
  <c r="K15" i="2"/>
  <c r="J15" i="2"/>
  <c r="I15" i="2"/>
  <c r="N14" i="2"/>
  <c r="K14" i="2"/>
  <c r="J14" i="2"/>
  <c r="L14" i="2" s="1"/>
  <c r="M14" i="2" s="1"/>
  <c r="I14" i="2"/>
  <c r="N13" i="2"/>
  <c r="M13" i="2"/>
  <c r="K13" i="2"/>
  <c r="J13" i="2"/>
  <c r="L13" i="2" s="1"/>
  <c r="I13" i="2"/>
  <c r="P12" i="2"/>
  <c r="N12" i="2"/>
  <c r="O12" i="2" s="1"/>
  <c r="I12" i="2"/>
  <c r="K12" i="2" s="1"/>
  <c r="P11" i="2"/>
  <c r="Q11" i="2" s="1"/>
  <c r="R11" i="2" s="1"/>
  <c r="O11" i="2"/>
  <c r="N11" i="2"/>
  <c r="I11" i="2"/>
  <c r="K11" i="2" s="1"/>
  <c r="P10" i="2"/>
  <c r="O10" i="2"/>
  <c r="N10" i="2"/>
  <c r="I10" i="2"/>
  <c r="K10" i="2" s="1"/>
  <c r="R9" i="2"/>
  <c r="P9" i="2"/>
  <c r="O9" i="2"/>
  <c r="Q9" i="2" s="1"/>
  <c r="N9" i="2"/>
  <c r="K9" i="2"/>
  <c r="I9" i="2"/>
  <c r="J9" i="2" s="1"/>
  <c r="L9" i="2" s="1"/>
  <c r="M9" i="2" s="1"/>
  <c r="N8" i="2"/>
  <c r="L8" i="2"/>
  <c r="M8" i="2" s="1"/>
  <c r="K8" i="2"/>
  <c r="J8" i="2"/>
  <c r="I8" i="2"/>
  <c r="N7" i="2"/>
  <c r="K7" i="2"/>
  <c r="J7" i="2"/>
  <c r="L7" i="2" s="1"/>
  <c r="M7" i="2" s="1"/>
  <c r="I7" i="2"/>
  <c r="N6" i="2"/>
  <c r="M6" i="2"/>
  <c r="K6" i="2"/>
  <c r="J6" i="2"/>
  <c r="L6" i="2" s="1"/>
  <c r="I6" i="2"/>
  <c r="P5" i="2"/>
  <c r="N5" i="2"/>
  <c r="O5" i="2" s="1"/>
  <c r="I5" i="2"/>
  <c r="K5" i="2" s="1"/>
  <c r="P4" i="2"/>
  <c r="Q4" i="2" s="1"/>
  <c r="R4" i="2" s="1"/>
  <c r="O4" i="2"/>
  <c r="N4" i="2"/>
  <c r="I4" i="2"/>
  <c r="K4" i="2" s="1"/>
  <c r="N123" i="1"/>
  <c r="O123" i="1" s="1"/>
  <c r="N122" i="1"/>
  <c r="P122" i="1" s="1"/>
  <c r="N121" i="1"/>
  <c r="P121" i="1" s="1"/>
  <c r="N120" i="1"/>
  <c r="N119" i="1"/>
  <c r="P119" i="1" s="1"/>
  <c r="N118" i="1"/>
  <c r="P118" i="1" s="1"/>
  <c r="N117" i="1"/>
  <c r="P117" i="1" s="1"/>
  <c r="N116" i="1"/>
  <c r="O116" i="1" s="1"/>
  <c r="N115" i="1"/>
  <c r="P115" i="1" s="1"/>
  <c r="N114" i="1"/>
  <c r="P114" i="1" s="1"/>
  <c r="N113" i="1"/>
  <c r="P113" i="1" s="1"/>
  <c r="N112" i="1"/>
  <c r="O112" i="1" s="1"/>
  <c r="N111" i="1"/>
  <c r="P111" i="1" s="1"/>
  <c r="N110" i="1"/>
  <c r="P110" i="1" s="1"/>
  <c r="N109" i="1"/>
  <c r="O109" i="1" s="1"/>
  <c r="N108" i="1"/>
  <c r="P108" i="1" s="1"/>
  <c r="N107" i="1"/>
  <c r="P107" i="1" s="1"/>
  <c r="N106" i="1"/>
  <c r="P105" i="1"/>
  <c r="O105" i="1"/>
  <c r="Q105" i="1" s="1"/>
  <c r="R105" i="1" s="1"/>
  <c r="N105" i="1"/>
  <c r="N104" i="1"/>
  <c r="P104" i="1" s="1"/>
  <c r="N103" i="1"/>
  <c r="P103" i="1" s="1"/>
  <c r="N102" i="1"/>
  <c r="O102" i="1" s="1"/>
  <c r="N101" i="1"/>
  <c r="P101" i="1" s="1"/>
  <c r="N100" i="1"/>
  <c r="P100" i="1" s="1"/>
  <c r="N99" i="1"/>
  <c r="P99" i="1" s="1"/>
  <c r="N98" i="1"/>
  <c r="P98" i="1" s="1"/>
  <c r="N97" i="1"/>
  <c r="O97" i="1" s="1"/>
  <c r="N96" i="1"/>
  <c r="O96" i="1" s="1"/>
  <c r="P95" i="1"/>
  <c r="N95" i="1"/>
  <c r="O95" i="1" s="1"/>
  <c r="Q95" i="1" s="1"/>
  <c r="R95" i="1" s="1"/>
  <c r="N94" i="1"/>
  <c r="P94" i="1" s="1"/>
  <c r="N93" i="1"/>
  <c r="P93" i="1" s="1"/>
  <c r="N92" i="1"/>
  <c r="P91" i="1"/>
  <c r="O91" i="1"/>
  <c r="Q91" i="1" s="1"/>
  <c r="R91" i="1" s="1"/>
  <c r="N91" i="1"/>
  <c r="N90" i="1"/>
  <c r="P90" i="1" s="1"/>
  <c r="N89" i="1"/>
  <c r="P89" i="1" s="1"/>
  <c r="N88" i="1"/>
  <c r="P88" i="1" s="1"/>
  <c r="O87" i="1"/>
  <c r="Q87" i="1" s="1"/>
  <c r="R87" i="1" s="1"/>
  <c r="N87" i="1"/>
  <c r="P87" i="1" s="1"/>
  <c r="P86" i="1"/>
  <c r="O86" i="1"/>
  <c r="Q86" i="1" s="1"/>
  <c r="R86" i="1" s="1"/>
  <c r="N86" i="1"/>
  <c r="N85" i="1"/>
  <c r="P85" i="1" s="1"/>
  <c r="N84" i="1"/>
  <c r="P84" i="1" s="1"/>
  <c r="N83" i="1"/>
  <c r="P83" i="1" s="1"/>
  <c r="N82" i="1"/>
  <c r="O82" i="1" s="1"/>
  <c r="P81" i="1"/>
  <c r="N81" i="1"/>
  <c r="O81" i="1" s="1"/>
  <c r="Q81" i="1" s="1"/>
  <c r="R81" i="1" s="1"/>
  <c r="N80" i="1"/>
  <c r="P80" i="1" s="1"/>
  <c r="N79" i="1"/>
  <c r="P79" i="1" s="1"/>
  <c r="N78" i="1"/>
  <c r="N77" i="1"/>
  <c r="P77" i="1" s="1"/>
  <c r="N76" i="1"/>
  <c r="P76" i="1" s="1"/>
  <c r="N75" i="1"/>
  <c r="P75" i="1" s="1"/>
  <c r="N74" i="1"/>
  <c r="P74" i="1" s="1"/>
  <c r="N73" i="1"/>
  <c r="P73" i="1" s="1"/>
  <c r="P72" i="1"/>
  <c r="O72" i="1"/>
  <c r="Q72" i="1" s="1"/>
  <c r="R72" i="1" s="1"/>
  <c r="N72" i="1"/>
  <c r="N71" i="1"/>
  <c r="P71" i="1" s="1"/>
  <c r="N70" i="1"/>
  <c r="P70" i="1" s="1"/>
  <c r="N69" i="1"/>
  <c r="N68" i="1"/>
  <c r="P68" i="1" s="1"/>
  <c r="P67" i="1"/>
  <c r="N67" i="1"/>
  <c r="O67" i="1" s="1"/>
  <c r="Q67" i="1" s="1"/>
  <c r="R67" i="1" s="1"/>
  <c r="N66" i="1"/>
  <c r="P66" i="1" s="1"/>
  <c r="N65" i="1"/>
  <c r="P65" i="1" s="1"/>
  <c r="N64" i="1"/>
  <c r="P64" i="1" s="1"/>
  <c r="N63" i="1"/>
  <c r="P63" i="1" s="1"/>
  <c r="N62" i="1"/>
  <c r="P62" i="1" s="1"/>
  <c r="N61" i="1"/>
  <c r="P61" i="1" s="1"/>
  <c r="N60" i="1"/>
  <c r="P60" i="1" s="1"/>
  <c r="N59" i="1"/>
  <c r="P59" i="1" s="1"/>
  <c r="P58" i="1"/>
  <c r="N58" i="1"/>
  <c r="O58" i="1" s="1"/>
  <c r="Q58" i="1" s="1"/>
  <c r="R58" i="1" s="1"/>
  <c r="N57" i="1"/>
  <c r="P57" i="1" s="1"/>
  <c r="N56" i="1"/>
  <c r="P56" i="1" s="1"/>
  <c r="N55" i="1"/>
  <c r="N54" i="1"/>
  <c r="O54" i="1" s="1"/>
  <c r="P53" i="1"/>
  <c r="N53" i="1"/>
  <c r="O53" i="1" s="1"/>
  <c r="Q53" i="1" s="1"/>
  <c r="R53" i="1" s="1"/>
  <c r="N52" i="1"/>
  <c r="P52" i="1" s="1"/>
  <c r="N51" i="1"/>
  <c r="P51" i="1" s="1"/>
  <c r="O50" i="1"/>
  <c r="Q50" i="1" s="1"/>
  <c r="R50" i="1" s="1"/>
  <c r="N50" i="1"/>
  <c r="P50" i="1" s="1"/>
  <c r="P49" i="1"/>
  <c r="O49" i="1"/>
  <c r="Q49" i="1" s="1"/>
  <c r="R49" i="1" s="1"/>
  <c r="N49" i="1"/>
  <c r="N48" i="1"/>
  <c r="P48" i="1" s="1"/>
  <c r="N47" i="1"/>
  <c r="P47" i="1" s="1"/>
  <c r="N46" i="1"/>
  <c r="P46" i="1" s="1"/>
  <c r="P45" i="1"/>
  <c r="N45" i="1"/>
  <c r="O45" i="1" s="1"/>
  <c r="Q45" i="1" s="1"/>
  <c r="R45" i="1" s="1"/>
  <c r="N44" i="1"/>
  <c r="P44" i="1" s="1"/>
  <c r="N43" i="1"/>
  <c r="P43" i="1" s="1"/>
  <c r="N42" i="1"/>
  <c r="P42" i="1" s="1"/>
  <c r="N41" i="1"/>
  <c r="N40" i="1"/>
  <c r="P40" i="1" s="1"/>
  <c r="N39" i="1"/>
  <c r="O39" i="1" s="1"/>
  <c r="N38" i="1"/>
  <c r="P38" i="1" s="1"/>
  <c r="N37" i="1"/>
  <c r="P37" i="1" s="1"/>
  <c r="N36" i="1"/>
  <c r="P36" i="1" s="1"/>
  <c r="O35" i="1"/>
  <c r="N35" i="1"/>
  <c r="P35" i="1" s="1"/>
  <c r="N34" i="1"/>
  <c r="P34" i="1" s="1"/>
  <c r="N33" i="1"/>
  <c r="P33" i="1" s="1"/>
  <c r="N32" i="1"/>
  <c r="P32" i="1" s="1"/>
  <c r="N31" i="1"/>
  <c r="O31" i="1" s="1"/>
  <c r="P30" i="1"/>
  <c r="O30" i="1"/>
  <c r="Q30" i="1" s="1"/>
  <c r="R30" i="1" s="1"/>
  <c r="N30" i="1"/>
  <c r="N29" i="1"/>
  <c r="P29" i="1" s="1"/>
  <c r="N28" i="1"/>
  <c r="P28" i="1" s="1"/>
  <c r="N27" i="1"/>
  <c r="P26" i="1"/>
  <c r="N26" i="1"/>
  <c r="O26" i="1" s="1"/>
  <c r="Q26" i="1" s="1"/>
  <c r="R26" i="1" s="1"/>
  <c r="N25" i="1"/>
  <c r="O25" i="1" s="1"/>
  <c r="O24" i="1"/>
  <c r="Q24" i="1" s="1"/>
  <c r="R24" i="1" s="1"/>
  <c r="N24" i="1"/>
  <c r="P24" i="1" s="1"/>
  <c r="N23" i="1"/>
  <c r="P23" i="1" s="1"/>
  <c r="N22" i="1"/>
  <c r="P22" i="1" s="1"/>
  <c r="P21" i="1"/>
  <c r="N21" i="1"/>
  <c r="O21" i="1" s="1"/>
  <c r="Q21" i="1" s="1"/>
  <c r="R21" i="1" s="1"/>
  <c r="N20" i="1"/>
  <c r="P20" i="1" s="1"/>
  <c r="N19" i="1"/>
  <c r="P19" i="1" s="1"/>
  <c r="N18" i="1"/>
  <c r="P18" i="1" s="1"/>
  <c r="N17" i="1"/>
  <c r="P17" i="1" s="1"/>
  <c r="N16" i="1"/>
  <c r="P16" i="1" s="1"/>
  <c r="N15" i="1"/>
  <c r="P15" i="1" s="1"/>
  <c r="N14" i="1"/>
  <c r="P14" i="1" s="1"/>
  <c r="N13" i="1"/>
  <c r="N12" i="1"/>
  <c r="P12" i="1" s="1"/>
  <c r="N11" i="1"/>
  <c r="O11" i="1" s="1"/>
  <c r="N10" i="1"/>
  <c r="O10" i="1" s="1"/>
  <c r="N9" i="1"/>
  <c r="P9" i="1" s="1"/>
  <c r="N8" i="1"/>
  <c r="P8" i="1" s="1"/>
  <c r="N7" i="1"/>
  <c r="P7" i="1" s="1"/>
  <c r="N6" i="1"/>
  <c r="P6" i="1" s="1"/>
  <c r="N5" i="1"/>
  <c r="P5" i="1" s="1"/>
  <c r="P4" i="1"/>
  <c r="O4" i="1"/>
  <c r="Q4" i="1" s="1"/>
  <c r="R4" i="1" s="1"/>
  <c r="N4" i="1"/>
  <c r="K113" i="1"/>
  <c r="K94" i="1"/>
  <c r="K93" i="1"/>
  <c r="K83" i="1"/>
  <c r="K66" i="1"/>
  <c r="K57" i="1"/>
  <c r="K41" i="1"/>
  <c r="K38" i="1"/>
  <c r="K27" i="1"/>
  <c r="K15" i="1"/>
  <c r="J122" i="1"/>
  <c r="J120" i="1"/>
  <c r="L120" i="1" s="1"/>
  <c r="M120" i="1" s="1"/>
  <c r="J112" i="1"/>
  <c r="J107" i="1"/>
  <c r="J97" i="1"/>
  <c r="J94" i="1"/>
  <c r="L94" i="1" s="1"/>
  <c r="M94" i="1" s="1"/>
  <c r="J92" i="1"/>
  <c r="L92" i="1" s="1"/>
  <c r="M92" i="1" s="1"/>
  <c r="J91" i="1"/>
  <c r="J83" i="1"/>
  <c r="J82" i="1"/>
  <c r="L82" i="1" s="1"/>
  <c r="M82" i="1" s="1"/>
  <c r="J69" i="1"/>
  <c r="J66" i="1"/>
  <c r="L66" i="1" s="1"/>
  <c r="M66" i="1" s="1"/>
  <c r="J65" i="1"/>
  <c r="J50" i="1"/>
  <c r="J41" i="1"/>
  <c r="L41" i="1" s="1"/>
  <c r="M41" i="1" s="1"/>
  <c r="J40" i="1"/>
  <c r="L40" i="1" s="1"/>
  <c r="M40" i="1" s="1"/>
  <c r="J36" i="1"/>
  <c r="L36" i="1" s="1"/>
  <c r="M36" i="1" s="1"/>
  <c r="J35" i="1"/>
  <c r="J26" i="1"/>
  <c r="J24" i="1"/>
  <c r="J22" i="1"/>
  <c r="L22" i="1" s="1"/>
  <c r="M22" i="1" s="1"/>
  <c r="J14" i="1"/>
  <c r="J9" i="1"/>
  <c r="I123" i="1"/>
  <c r="K123" i="1" s="1"/>
  <c r="I122" i="1"/>
  <c r="K122" i="1" s="1"/>
  <c r="I121" i="1"/>
  <c r="K121" i="1" s="1"/>
  <c r="I120" i="1"/>
  <c r="K120" i="1" s="1"/>
  <c r="I119" i="1"/>
  <c r="K119" i="1" s="1"/>
  <c r="I118" i="1"/>
  <c r="J118" i="1" s="1"/>
  <c r="I117" i="1"/>
  <c r="J117" i="1" s="1"/>
  <c r="I116" i="1"/>
  <c r="K116" i="1" s="1"/>
  <c r="I115" i="1"/>
  <c r="J115" i="1" s="1"/>
  <c r="I114" i="1"/>
  <c r="J114" i="1" s="1"/>
  <c r="I113" i="1"/>
  <c r="J113" i="1" s="1"/>
  <c r="I112" i="1"/>
  <c r="K112" i="1" s="1"/>
  <c r="I111" i="1"/>
  <c r="J111" i="1" s="1"/>
  <c r="I110" i="1"/>
  <c r="K110" i="1" s="1"/>
  <c r="I109" i="1"/>
  <c r="K109" i="1" s="1"/>
  <c r="I108" i="1"/>
  <c r="J108" i="1" s="1"/>
  <c r="I107" i="1"/>
  <c r="K107" i="1" s="1"/>
  <c r="I106" i="1"/>
  <c r="K106" i="1" s="1"/>
  <c r="I105" i="1"/>
  <c r="K105" i="1" s="1"/>
  <c r="I104" i="1"/>
  <c r="J104" i="1" s="1"/>
  <c r="I103" i="1"/>
  <c r="J103" i="1" s="1"/>
  <c r="I102" i="1"/>
  <c r="K102" i="1" s="1"/>
  <c r="I101" i="1"/>
  <c r="J101" i="1" s="1"/>
  <c r="I100" i="1"/>
  <c r="J100" i="1" s="1"/>
  <c r="I99" i="1"/>
  <c r="J99" i="1" s="1"/>
  <c r="I98" i="1"/>
  <c r="J98" i="1" s="1"/>
  <c r="I97" i="1"/>
  <c r="K97" i="1" s="1"/>
  <c r="I96" i="1"/>
  <c r="K96" i="1" s="1"/>
  <c r="I95" i="1"/>
  <c r="K95" i="1" s="1"/>
  <c r="I94" i="1"/>
  <c r="I93" i="1"/>
  <c r="J93" i="1" s="1"/>
  <c r="L93" i="1" s="1"/>
  <c r="M93" i="1" s="1"/>
  <c r="I92" i="1"/>
  <c r="K92" i="1" s="1"/>
  <c r="I91" i="1"/>
  <c r="K91" i="1" s="1"/>
  <c r="I90" i="1"/>
  <c r="J90" i="1" s="1"/>
  <c r="I89" i="1"/>
  <c r="J89" i="1" s="1"/>
  <c r="I88" i="1"/>
  <c r="K88" i="1" s="1"/>
  <c r="I87" i="1"/>
  <c r="J87" i="1" s="1"/>
  <c r="I86" i="1"/>
  <c r="J86" i="1" s="1"/>
  <c r="I85" i="1"/>
  <c r="J85" i="1" s="1"/>
  <c r="I84" i="1"/>
  <c r="J84" i="1" s="1"/>
  <c r="I83" i="1"/>
  <c r="I82" i="1"/>
  <c r="K82" i="1" s="1"/>
  <c r="I81" i="1"/>
  <c r="K81" i="1" s="1"/>
  <c r="I80" i="1"/>
  <c r="K80" i="1" s="1"/>
  <c r="I79" i="1"/>
  <c r="K79" i="1" s="1"/>
  <c r="I78" i="1"/>
  <c r="K78" i="1" s="1"/>
  <c r="I77" i="1"/>
  <c r="K77" i="1" s="1"/>
  <c r="I76" i="1"/>
  <c r="J76" i="1" s="1"/>
  <c r="I75" i="1"/>
  <c r="J75" i="1" s="1"/>
  <c r="I74" i="1"/>
  <c r="J74" i="1" s="1"/>
  <c r="I73" i="1"/>
  <c r="J73" i="1" s="1"/>
  <c r="I72" i="1"/>
  <c r="J72" i="1" s="1"/>
  <c r="I71" i="1"/>
  <c r="J71" i="1" s="1"/>
  <c r="I70" i="1"/>
  <c r="K70" i="1" s="1"/>
  <c r="I69" i="1"/>
  <c r="K69" i="1" s="1"/>
  <c r="I68" i="1"/>
  <c r="K68" i="1" s="1"/>
  <c r="I67" i="1"/>
  <c r="K67" i="1" s="1"/>
  <c r="I66" i="1"/>
  <c r="I65" i="1"/>
  <c r="K65" i="1" s="1"/>
  <c r="I64" i="1"/>
  <c r="K64" i="1" s="1"/>
  <c r="I63" i="1"/>
  <c r="K63" i="1" s="1"/>
  <c r="I62" i="1"/>
  <c r="J62" i="1" s="1"/>
  <c r="I61" i="1"/>
  <c r="J61" i="1" s="1"/>
  <c r="I60" i="1"/>
  <c r="J60" i="1" s="1"/>
  <c r="I59" i="1"/>
  <c r="J59" i="1" s="1"/>
  <c r="I58" i="1"/>
  <c r="J58" i="1" s="1"/>
  <c r="I57" i="1"/>
  <c r="J57" i="1" s="1"/>
  <c r="I56" i="1"/>
  <c r="K56" i="1" s="1"/>
  <c r="I55" i="1"/>
  <c r="K55" i="1" s="1"/>
  <c r="I54" i="1"/>
  <c r="K54" i="1" s="1"/>
  <c r="I53" i="1"/>
  <c r="K53" i="1" s="1"/>
  <c r="I52" i="1"/>
  <c r="K52" i="1" s="1"/>
  <c r="I51" i="1"/>
  <c r="K51" i="1" s="1"/>
  <c r="I50" i="1"/>
  <c r="K50" i="1" s="1"/>
  <c r="I49" i="1"/>
  <c r="K49" i="1" s="1"/>
  <c r="I48" i="1"/>
  <c r="J48" i="1" s="1"/>
  <c r="I47" i="1"/>
  <c r="J47" i="1" s="1"/>
  <c r="I46" i="1"/>
  <c r="K46" i="1" s="1"/>
  <c r="I45" i="1"/>
  <c r="J45" i="1" s="1"/>
  <c r="I44" i="1"/>
  <c r="J44" i="1" s="1"/>
  <c r="I43" i="1"/>
  <c r="J43" i="1" s="1"/>
  <c r="I42" i="1"/>
  <c r="K42" i="1" s="1"/>
  <c r="I41" i="1"/>
  <c r="I40" i="1"/>
  <c r="K40" i="1" s="1"/>
  <c r="I39" i="1"/>
  <c r="K39" i="1" s="1"/>
  <c r="I38" i="1"/>
  <c r="J38" i="1" s="1"/>
  <c r="L38" i="1" s="1"/>
  <c r="M38" i="1" s="1"/>
  <c r="I37" i="1"/>
  <c r="J37" i="1" s="1"/>
  <c r="I36" i="1"/>
  <c r="K36" i="1" s="1"/>
  <c r="I35" i="1"/>
  <c r="K35" i="1" s="1"/>
  <c r="L35" i="1" s="1"/>
  <c r="M35" i="1" s="1"/>
  <c r="I34" i="1"/>
  <c r="J34" i="1" s="1"/>
  <c r="I33" i="1"/>
  <c r="J33" i="1" s="1"/>
  <c r="I32" i="1"/>
  <c r="J32" i="1" s="1"/>
  <c r="I31" i="1"/>
  <c r="J31" i="1" s="1"/>
  <c r="I30" i="1"/>
  <c r="J30" i="1" s="1"/>
  <c r="I29" i="1"/>
  <c r="J29" i="1" s="1"/>
  <c r="I28" i="1"/>
  <c r="J28" i="1" s="1"/>
  <c r="I27" i="1"/>
  <c r="J27" i="1" s="1"/>
  <c r="L27" i="1" s="1"/>
  <c r="M27" i="1" s="1"/>
  <c r="I26" i="1"/>
  <c r="K26" i="1" s="1"/>
  <c r="I25" i="1"/>
  <c r="K25" i="1" s="1"/>
  <c r="I24" i="1"/>
  <c r="K24" i="1" s="1"/>
  <c r="I23" i="1"/>
  <c r="K23" i="1" s="1"/>
  <c r="I22" i="1"/>
  <c r="K22" i="1" s="1"/>
  <c r="I21" i="1"/>
  <c r="K21" i="1" s="1"/>
  <c r="I20" i="1"/>
  <c r="J20" i="1" s="1"/>
  <c r="I19" i="1"/>
  <c r="J19" i="1" s="1"/>
  <c r="I18" i="1"/>
  <c r="K18" i="1" s="1"/>
  <c r="I17" i="1"/>
  <c r="J17" i="1" s="1"/>
  <c r="I16" i="1"/>
  <c r="J16" i="1" s="1"/>
  <c r="I15" i="1"/>
  <c r="J15" i="1" s="1"/>
  <c r="I14" i="1"/>
  <c r="K14" i="1" s="1"/>
  <c r="I13" i="1"/>
  <c r="J13" i="1" s="1"/>
  <c r="I12" i="1"/>
  <c r="K12" i="1" s="1"/>
  <c r="I11" i="1"/>
  <c r="K11" i="1" s="1"/>
  <c r="I10" i="1"/>
  <c r="J10" i="1" s="1"/>
  <c r="I9" i="1"/>
  <c r="K9" i="1" s="1"/>
  <c r="I8" i="1"/>
  <c r="K8" i="1" s="1"/>
  <c r="I7" i="1"/>
  <c r="K7" i="1" s="1"/>
  <c r="I6" i="1"/>
  <c r="J6" i="1" s="1"/>
  <c r="I5" i="1"/>
  <c r="J5" i="1" s="1"/>
  <c r="I4" i="1"/>
  <c r="J4" i="1" s="1"/>
  <c r="K103" i="2" l="1"/>
  <c r="J103" i="2"/>
  <c r="L103" i="2" s="1"/>
  <c r="M103" i="2" s="1"/>
  <c r="P8" i="2"/>
  <c r="O8" i="2"/>
  <c r="P13" i="2"/>
  <c r="O13" i="2"/>
  <c r="Q13" i="2" s="1"/>
  <c r="R13" i="2" s="1"/>
  <c r="K110" i="2"/>
  <c r="J110" i="2"/>
  <c r="L110" i="2" s="1"/>
  <c r="M110" i="2" s="1"/>
  <c r="L121" i="2"/>
  <c r="M121" i="2" s="1"/>
  <c r="P49" i="2"/>
  <c r="O49" i="2"/>
  <c r="Q49" i="2" s="1"/>
  <c r="R49" i="2" s="1"/>
  <c r="P55" i="2"/>
  <c r="O55" i="2"/>
  <c r="Q55" i="2" s="1"/>
  <c r="R55" i="2" s="1"/>
  <c r="J74" i="2"/>
  <c r="L74" i="2" s="1"/>
  <c r="M74" i="2" s="1"/>
  <c r="P82" i="2"/>
  <c r="O82" i="2"/>
  <c r="Q82" i="2" s="1"/>
  <c r="R82" i="2" s="1"/>
  <c r="J88" i="2"/>
  <c r="L88" i="2" s="1"/>
  <c r="M88" i="2" s="1"/>
  <c r="J5" i="2"/>
  <c r="L5" i="2" s="1"/>
  <c r="M5" i="2" s="1"/>
  <c r="P7" i="2"/>
  <c r="O7" i="2"/>
  <c r="Q7" i="2" s="1"/>
  <c r="R7" i="2" s="1"/>
  <c r="J12" i="2"/>
  <c r="L12" i="2" s="1"/>
  <c r="M12" i="2" s="1"/>
  <c r="P14" i="2"/>
  <c r="O14" i="2"/>
  <c r="Q14" i="2" s="1"/>
  <c r="R14" i="2" s="1"/>
  <c r="J19" i="2"/>
  <c r="L19" i="2" s="1"/>
  <c r="M19" i="2" s="1"/>
  <c r="P21" i="2"/>
  <c r="O21" i="2"/>
  <c r="Q21" i="2" s="1"/>
  <c r="R21" i="2" s="1"/>
  <c r="J26" i="2"/>
  <c r="L26" i="2" s="1"/>
  <c r="M26" i="2" s="1"/>
  <c r="P28" i="2"/>
  <c r="O28" i="2"/>
  <c r="J33" i="2"/>
  <c r="L33" i="2" s="1"/>
  <c r="M33" i="2" s="1"/>
  <c r="P35" i="2"/>
  <c r="O35" i="2"/>
  <c r="P40" i="2"/>
  <c r="O40" i="2"/>
  <c r="Q40" i="2" s="1"/>
  <c r="R40" i="2" s="1"/>
  <c r="J53" i="2"/>
  <c r="L53" i="2" s="1"/>
  <c r="M53" i="2" s="1"/>
  <c r="J61" i="2"/>
  <c r="L61" i="2" s="1"/>
  <c r="M61" i="2" s="1"/>
  <c r="P27" i="2"/>
  <c r="O27" i="2"/>
  <c r="Q27" i="2" s="1"/>
  <c r="R27" i="2" s="1"/>
  <c r="K89" i="2"/>
  <c r="J89" i="2"/>
  <c r="L89" i="2" s="1"/>
  <c r="M89" i="2" s="1"/>
  <c r="Q5" i="2"/>
  <c r="R5" i="2" s="1"/>
  <c r="Q12" i="2"/>
  <c r="R12" i="2" s="1"/>
  <c r="Q19" i="2"/>
  <c r="R19" i="2" s="1"/>
  <c r="Q26" i="2"/>
  <c r="R26" i="2" s="1"/>
  <c r="Q33" i="2"/>
  <c r="R33" i="2" s="1"/>
  <c r="Q58" i="2"/>
  <c r="R58" i="2" s="1"/>
  <c r="P61" i="2"/>
  <c r="O61" i="2"/>
  <c r="Q61" i="2" s="1"/>
  <c r="R61" i="2" s="1"/>
  <c r="J75" i="2"/>
  <c r="L75" i="2" s="1"/>
  <c r="M75" i="2" s="1"/>
  <c r="L86" i="2"/>
  <c r="M86" i="2" s="1"/>
  <c r="P54" i="2"/>
  <c r="O54" i="2"/>
  <c r="P15" i="2"/>
  <c r="O15" i="2"/>
  <c r="Q15" i="2" s="1"/>
  <c r="R15" i="2" s="1"/>
  <c r="P22" i="2"/>
  <c r="O22" i="2"/>
  <c r="Q22" i="2" s="1"/>
  <c r="R22" i="2" s="1"/>
  <c r="P6" i="2"/>
  <c r="O6" i="2"/>
  <c r="Q6" i="2" s="1"/>
  <c r="R6" i="2" s="1"/>
  <c r="J11" i="2"/>
  <c r="L11" i="2" s="1"/>
  <c r="M11" i="2" s="1"/>
  <c r="P20" i="2"/>
  <c r="O20" i="2"/>
  <c r="Q20" i="2" s="1"/>
  <c r="R20" i="2" s="1"/>
  <c r="P34" i="2"/>
  <c r="O34" i="2"/>
  <c r="Q34" i="2" s="1"/>
  <c r="R34" i="2" s="1"/>
  <c r="J39" i="2"/>
  <c r="L39" i="2" s="1"/>
  <c r="M39" i="2" s="1"/>
  <c r="J47" i="2"/>
  <c r="L47" i="2" s="1"/>
  <c r="M47" i="2" s="1"/>
  <c r="J68" i="2"/>
  <c r="L68" i="2" s="1"/>
  <c r="M68" i="2" s="1"/>
  <c r="P76" i="2"/>
  <c r="O76" i="2"/>
  <c r="Q76" i="2" s="1"/>
  <c r="R76" i="2" s="1"/>
  <c r="P68" i="2"/>
  <c r="O68" i="2"/>
  <c r="Q68" i="2" s="1"/>
  <c r="R68" i="2" s="1"/>
  <c r="P48" i="2"/>
  <c r="O48" i="2"/>
  <c r="Q48" i="2" s="1"/>
  <c r="R48" i="2" s="1"/>
  <c r="P56" i="2"/>
  <c r="O56" i="2"/>
  <c r="J46" i="2"/>
  <c r="L46" i="2" s="1"/>
  <c r="M46" i="2" s="1"/>
  <c r="J54" i="2"/>
  <c r="L54" i="2" s="1"/>
  <c r="M54" i="2" s="1"/>
  <c r="J67" i="2"/>
  <c r="L67" i="2" s="1"/>
  <c r="M67" i="2" s="1"/>
  <c r="P75" i="2"/>
  <c r="O75" i="2"/>
  <c r="Q75" i="2" s="1"/>
  <c r="R75" i="2" s="1"/>
  <c r="J96" i="2"/>
  <c r="K96" i="2"/>
  <c r="P29" i="2"/>
  <c r="O29" i="2"/>
  <c r="Q29" i="2" s="1"/>
  <c r="R29" i="2" s="1"/>
  <c r="P36" i="2"/>
  <c r="O36" i="2"/>
  <c r="P62" i="2"/>
  <c r="O62" i="2"/>
  <c r="Q62" i="2" s="1"/>
  <c r="R62" i="2" s="1"/>
  <c r="K116" i="2"/>
  <c r="J116" i="2"/>
  <c r="L116" i="2" s="1"/>
  <c r="M116" i="2" s="1"/>
  <c r="J4" i="2"/>
  <c r="L4" i="2" s="1"/>
  <c r="M4" i="2" s="1"/>
  <c r="J18" i="2"/>
  <c r="L18" i="2" s="1"/>
  <c r="M18" i="2" s="1"/>
  <c r="J25" i="2"/>
  <c r="L25" i="2" s="1"/>
  <c r="M25" i="2" s="1"/>
  <c r="J32" i="2"/>
  <c r="L32" i="2" s="1"/>
  <c r="M32" i="2" s="1"/>
  <c r="P47" i="2"/>
  <c r="O47" i="2"/>
  <c r="Q47" i="2" s="1"/>
  <c r="R47" i="2" s="1"/>
  <c r="J60" i="2"/>
  <c r="L60" i="2" s="1"/>
  <c r="M60" i="2" s="1"/>
  <c r="J82" i="2"/>
  <c r="L82" i="2" s="1"/>
  <c r="M82" i="2" s="1"/>
  <c r="P42" i="2"/>
  <c r="O42" i="2"/>
  <c r="J40" i="2"/>
  <c r="L40" i="2" s="1"/>
  <c r="M40" i="2" s="1"/>
  <c r="P69" i="2"/>
  <c r="O69" i="2"/>
  <c r="K95" i="2"/>
  <c r="J95" i="2"/>
  <c r="L95" i="2" s="1"/>
  <c r="M95" i="2" s="1"/>
  <c r="P83" i="2"/>
  <c r="O83" i="2"/>
  <c r="Q83" i="2" s="1"/>
  <c r="R83" i="2" s="1"/>
  <c r="P89" i="2"/>
  <c r="O89" i="2"/>
  <c r="Q89" i="2" s="1"/>
  <c r="R89" i="2" s="1"/>
  <c r="K102" i="2"/>
  <c r="J102" i="2"/>
  <c r="L102" i="2" s="1"/>
  <c r="M102" i="2" s="1"/>
  <c r="P43" i="2"/>
  <c r="O43" i="2"/>
  <c r="Q43" i="2" s="1"/>
  <c r="R43" i="2" s="1"/>
  <c r="Q10" i="2"/>
  <c r="R10" i="2" s="1"/>
  <c r="Q17" i="2"/>
  <c r="R17" i="2" s="1"/>
  <c r="Q24" i="2"/>
  <c r="R24" i="2" s="1"/>
  <c r="Q31" i="2"/>
  <c r="R31" i="2" s="1"/>
  <c r="Q38" i="2"/>
  <c r="R38" i="2" s="1"/>
  <c r="P41" i="2"/>
  <c r="O41" i="2"/>
  <c r="Q41" i="2" s="1"/>
  <c r="R41" i="2" s="1"/>
  <c r="Q46" i="2"/>
  <c r="R46" i="2" s="1"/>
  <c r="Q72" i="2"/>
  <c r="R72" i="2" s="1"/>
  <c r="Q86" i="2"/>
  <c r="R86" i="2" s="1"/>
  <c r="K109" i="2"/>
  <c r="J109" i="2"/>
  <c r="L109" i="2" s="1"/>
  <c r="M109" i="2" s="1"/>
  <c r="O122" i="2"/>
  <c r="Q122" i="2" s="1"/>
  <c r="R122" i="2" s="1"/>
  <c r="J117" i="2"/>
  <c r="L117" i="2" s="1"/>
  <c r="M117" i="2" s="1"/>
  <c r="O90" i="2"/>
  <c r="Q90" i="2" s="1"/>
  <c r="R90" i="2" s="1"/>
  <c r="O97" i="2"/>
  <c r="Q97" i="2" s="1"/>
  <c r="R97" i="2" s="1"/>
  <c r="O104" i="2"/>
  <c r="Q104" i="2" s="1"/>
  <c r="R104" i="2" s="1"/>
  <c r="O111" i="2"/>
  <c r="Q111" i="2" s="1"/>
  <c r="R111" i="2" s="1"/>
  <c r="O118" i="2"/>
  <c r="Q118" i="2" s="1"/>
  <c r="R118" i="2" s="1"/>
  <c r="J123" i="2"/>
  <c r="L123" i="2" s="1"/>
  <c r="M123" i="2" s="1"/>
  <c r="O96" i="2"/>
  <c r="Q96" i="2" s="1"/>
  <c r="R96" i="2" s="1"/>
  <c r="O103" i="2"/>
  <c r="Q103" i="2" s="1"/>
  <c r="R103" i="2" s="1"/>
  <c r="O110" i="2"/>
  <c r="Q110" i="2" s="1"/>
  <c r="R110" i="2" s="1"/>
  <c r="O117" i="2"/>
  <c r="Q117" i="2" s="1"/>
  <c r="R117" i="2" s="1"/>
  <c r="O50" i="2"/>
  <c r="Q50" i="2" s="1"/>
  <c r="R50" i="2" s="1"/>
  <c r="O57" i="2"/>
  <c r="Q57" i="2" s="1"/>
  <c r="R57" i="2" s="1"/>
  <c r="O64" i="2"/>
  <c r="Q64" i="2" s="1"/>
  <c r="R64" i="2" s="1"/>
  <c r="O71" i="2"/>
  <c r="Q71" i="2" s="1"/>
  <c r="R71" i="2" s="1"/>
  <c r="O78" i="2"/>
  <c r="Q78" i="2" s="1"/>
  <c r="R78" i="2" s="1"/>
  <c r="O85" i="2"/>
  <c r="Q85" i="2" s="1"/>
  <c r="R85" i="2" s="1"/>
  <c r="O92" i="2"/>
  <c r="Q92" i="2" s="1"/>
  <c r="R92" i="2" s="1"/>
  <c r="O99" i="2"/>
  <c r="Q99" i="2" s="1"/>
  <c r="R99" i="2" s="1"/>
  <c r="O106" i="2"/>
  <c r="Q106" i="2" s="1"/>
  <c r="R106" i="2" s="1"/>
  <c r="O113" i="2"/>
  <c r="Q113" i="2" s="1"/>
  <c r="R113" i="2" s="1"/>
  <c r="O120" i="2"/>
  <c r="Q120" i="2" s="1"/>
  <c r="R120" i="2" s="1"/>
  <c r="J10" i="2"/>
  <c r="L10" i="2" s="1"/>
  <c r="M10" i="2" s="1"/>
  <c r="J17" i="2"/>
  <c r="L17" i="2" s="1"/>
  <c r="M17" i="2" s="1"/>
  <c r="J24" i="2"/>
  <c r="L24" i="2" s="1"/>
  <c r="M24" i="2" s="1"/>
  <c r="J31" i="2"/>
  <c r="L31" i="2" s="1"/>
  <c r="M31" i="2" s="1"/>
  <c r="J38" i="2"/>
  <c r="L38" i="2" s="1"/>
  <c r="M38" i="2" s="1"/>
  <c r="J45" i="2"/>
  <c r="L45" i="2" s="1"/>
  <c r="M45" i="2" s="1"/>
  <c r="J52" i="2"/>
  <c r="L52" i="2" s="1"/>
  <c r="M52" i="2" s="1"/>
  <c r="J59" i="2"/>
  <c r="L59" i="2" s="1"/>
  <c r="M59" i="2" s="1"/>
  <c r="J66" i="2"/>
  <c r="L66" i="2" s="1"/>
  <c r="M66" i="2" s="1"/>
  <c r="J73" i="2"/>
  <c r="L73" i="2" s="1"/>
  <c r="M73" i="2" s="1"/>
  <c r="J80" i="2"/>
  <c r="L80" i="2" s="1"/>
  <c r="M80" i="2" s="1"/>
  <c r="J87" i="2"/>
  <c r="L87" i="2" s="1"/>
  <c r="M87" i="2" s="1"/>
  <c r="J94" i="2"/>
  <c r="L94" i="2" s="1"/>
  <c r="M94" i="2" s="1"/>
  <c r="J101" i="2"/>
  <c r="L101" i="2" s="1"/>
  <c r="M101" i="2" s="1"/>
  <c r="J108" i="2"/>
  <c r="L108" i="2" s="1"/>
  <c r="M108" i="2" s="1"/>
  <c r="J115" i="2"/>
  <c r="L115" i="2" s="1"/>
  <c r="M115" i="2" s="1"/>
  <c r="J122" i="2"/>
  <c r="L122" i="2" s="1"/>
  <c r="M122" i="2" s="1"/>
  <c r="O123" i="2"/>
  <c r="Q123" i="2" s="1"/>
  <c r="R123" i="2" s="1"/>
  <c r="O63" i="2"/>
  <c r="Q63" i="2" s="1"/>
  <c r="R63" i="2" s="1"/>
  <c r="O70" i="2"/>
  <c r="Q70" i="2" s="1"/>
  <c r="R70" i="2" s="1"/>
  <c r="O77" i="2"/>
  <c r="Q77" i="2" s="1"/>
  <c r="R77" i="2" s="1"/>
  <c r="O84" i="2"/>
  <c r="Q84" i="2" s="1"/>
  <c r="R84" i="2" s="1"/>
  <c r="O91" i="2"/>
  <c r="Q91" i="2" s="1"/>
  <c r="R91" i="2" s="1"/>
  <c r="O98" i="2"/>
  <c r="Q98" i="2" s="1"/>
  <c r="R98" i="2" s="1"/>
  <c r="O105" i="2"/>
  <c r="Q105" i="2" s="1"/>
  <c r="R105" i="2" s="1"/>
  <c r="O112" i="2"/>
  <c r="Q112" i="2" s="1"/>
  <c r="R112" i="2" s="1"/>
  <c r="O119" i="2"/>
  <c r="Q119" i="2" s="1"/>
  <c r="R119" i="2" s="1"/>
  <c r="L84" i="1"/>
  <c r="M84" i="1" s="1"/>
  <c r="L24" i="1"/>
  <c r="M24" i="1" s="1"/>
  <c r="L74" i="1"/>
  <c r="M74" i="1" s="1"/>
  <c r="L28" i="1"/>
  <c r="M28" i="1" s="1"/>
  <c r="Q35" i="1"/>
  <c r="R35" i="1" s="1"/>
  <c r="L60" i="1"/>
  <c r="M60" i="1" s="1"/>
  <c r="Q39" i="1"/>
  <c r="R39" i="1" s="1"/>
  <c r="L122" i="1"/>
  <c r="M122" i="1" s="1"/>
  <c r="Q97" i="1"/>
  <c r="R97" i="1" s="1"/>
  <c r="Q109" i="1"/>
  <c r="R109" i="1" s="1"/>
  <c r="Q123" i="1"/>
  <c r="R123" i="1" s="1"/>
  <c r="J18" i="1"/>
  <c r="L18" i="1" s="1"/>
  <c r="M18" i="1" s="1"/>
  <c r="K60" i="1"/>
  <c r="O44" i="1"/>
  <c r="Q44" i="1" s="1"/>
  <c r="R44" i="1" s="1"/>
  <c r="J116" i="1"/>
  <c r="L116" i="1" s="1"/>
  <c r="M116" i="1" s="1"/>
  <c r="K28" i="1"/>
  <c r="O7" i="1"/>
  <c r="Q7" i="1" s="1"/>
  <c r="R7" i="1" s="1"/>
  <c r="J21" i="1"/>
  <c r="L21" i="1" s="1"/>
  <c r="M21" i="1" s="1"/>
  <c r="J42" i="1"/>
  <c r="L42" i="1" s="1"/>
  <c r="M42" i="1" s="1"/>
  <c r="J68" i="1"/>
  <c r="J119" i="1"/>
  <c r="L119" i="1" s="1"/>
  <c r="M119" i="1" s="1"/>
  <c r="K29" i="1"/>
  <c r="O16" i="1"/>
  <c r="Q16" i="1" s="1"/>
  <c r="R16" i="1" s="1"/>
  <c r="P25" i="1"/>
  <c r="Q25" i="1" s="1"/>
  <c r="R25" i="1" s="1"/>
  <c r="O63" i="1"/>
  <c r="Q63" i="1" s="1"/>
  <c r="R63" i="1" s="1"/>
  <c r="P123" i="1"/>
  <c r="O114" i="1"/>
  <c r="Q114" i="1" s="1"/>
  <c r="R114" i="1" s="1"/>
  <c r="L65" i="1"/>
  <c r="M65" i="1" s="1"/>
  <c r="L91" i="1"/>
  <c r="M91" i="1" s="1"/>
  <c r="J46" i="1"/>
  <c r="L46" i="1" s="1"/>
  <c r="M46" i="1" s="1"/>
  <c r="L69" i="1"/>
  <c r="M69" i="1" s="1"/>
  <c r="K32" i="1"/>
  <c r="L32" i="1" s="1"/>
  <c r="M32" i="1" s="1"/>
  <c r="K98" i="1"/>
  <c r="L98" i="1" s="1"/>
  <c r="M98" i="1" s="1"/>
  <c r="J23" i="1"/>
  <c r="L23" i="1" s="1"/>
  <c r="M23" i="1" s="1"/>
  <c r="J49" i="1"/>
  <c r="L49" i="1" s="1"/>
  <c r="M49" i="1" s="1"/>
  <c r="J70" i="1"/>
  <c r="L70" i="1" s="1"/>
  <c r="M70" i="1" s="1"/>
  <c r="J96" i="1"/>
  <c r="J121" i="1"/>
  <c r="L121" i="1" s="1"/>
  <c r="M121" i="1" s="1"/>
  <c r="K37" i="1"/>
  <c r="L37" i="1" s="1"/>
  <c r="M37" i="1" s="1"/>
  <c r="K99" i="1"/>
  <c r="L14" i="1"/>
  <c r="M14" i="1" s="1"/>
  <c r="J52" i="1"/>
  <c r="L52" i="1" s="1"/>
  <c r="M52" i="1" s="1"/>
  <c r="J78" i="1"/>
  <c r="L78" i="1" s="1"/>
  <c r="M78" i="1" s="1"/>
  <c r="J102" i="1"/>
  <c r="L102" i="1" s="1"/>
  <c r="M102" i="1" s="1"/>
  <c r="K10" i="1"/>
  <c r="L10" i="1" s="1"/>
  <c r="M10" i="1" s="1"/>
  <c r="K74" i="1"/>
  <c r="K108" i="1"/>
  <c r="L108" i="1" s="1"/>
  <c r="M108" i="1" s="1"/>
  <c r="P10" i="1"/>
  <c r="Q10" i="1" s="1"/>
  <c r="R10" i="1" s="1"/>
  <c r="O77" i="1"/>
  <c r="Q77" i="1" s="1"/>
  <c r="R77" i="1" s="1"/>
  <c r="P96" i="1"/>
  <c r="Q96" i="1" s="1"/>
  <c r="R96" i="1" s="1"/>
  <c r="L112" i="1"/>
  <c r="M112" i="1" s="1"/>
  <c r="J77" i="1"/>
  <c r="L77" i="1" s="1"/>
  <c r="M77" i="1" s="1"/>
  <c r="K71" i="1"/>
  <c r="J7" i="1"/>
  <c r="J54" i="1"/>
  <c r="L54" i="1" s="1"/>
  <c r="M54" i="1" s="1"/>
  <c r="J79" i="1"/>
  <c r="L79" i="1" s="1"/>
  <c r="M79" i="1" s="1"/>
  <c r="J105" i="1"/>
  <c r="L105" i="1" s="1"/>
  <c r="M105" i="1" s="1"/>
  <c r="K13" i="1"/>
  <c r="L13" i="1" s="1"/>
  <c r="M13" i="1" s="1"/>
  <c r="K43" i="1"/>
  <c r="K111" i="1"/>
  <c r="L111" i="1" s="1"/>
  <c r="M111" i="1" s="1"/>
  <c r="L7" i="1"/>
  <c r="M7" i="1" s="1"/>
  <c r="L63" i="1"/>
  <c r="M63" i="1" s="1"/>
  <c r="L97" i="1"/>
  <c r="M97" i="1" s="1"/>
  <c r="J51" i="1"/>
  <c r="L51" i="1" s="1"/>
  <c r="M51" i="1" s="1"/>
  <c r="J8" i="1"/>
  <c r="L8" i="1" s="1"/>
  <c r="M8" i="1" s="1"/>
  <c r="J55" i="1"/>
  <c r="L55" i="1" s="1"/>
  <c r="M55" i="1" s="1"/>
  <c r="J80" i="1"/>
  <c r="L80" i="1" s="1"/>
  <c r="M80" i="1" s="1"/>
  <c r="J106" i="1"/>
  <c r="L106" i="1" s="1"/>
  <c r="M106" i="1" s="1"/>
  <c r="P11" i="1"/>
  <c r="Q11" i="1" s="1"/>
  <c r="R11" i="1" s="1"/>
  <c r="P39" i="1"/>
  <c r="O119" i="1"/>
  <c r="Q119" i="1" s="1"/>
  <c r="R119" i="1" s="1"/>
  <c r="P109" i="1"/>
  <c r="J56" i="1"/>
  <c r="L56" i="1" s="1"/>
  <c r="M56" i="1" s="1"/>
  <c r="L107" i="1"/>
  <c r="M107" i="1" s="1"/>
  <c r="L29" i="1"/>
  <c r="M29" i="1" s="1"/>
  <c r="L57" i="1"/>
  <c r="M57" i="1" s="1"/>
  <c r="K84" i="1"/>
  <c r="O12" i="1"/>
  <c r="Q12" i="1" s="1"/>
  <c r="R12" i="1" s="1"/>
  <c r="J12" i="1"/>
  <c r="J63" i="1"/>
  <c r="J110" i="1"/>
  <c r="L110" i="1" s="1"/>
  <c r="M110" i="1" s="1"/>
  <c r="K85" i="1"/>
  <c r="L85" i="1" s="1"/>
  <c r="M85" i="1" s="1"/>
  <c r="O100" i="1"/>
  <c r="Q100" i="1" s="1"/>
  <c r="R100" i="1" s="1"/>
  <c r="L9" i="1"/>
  <c r="M9" i="1" s="1"/>
  <c r="L15" i="1"/>
  <c r="M15" i="1" s="1"/>
  <c r="L43" i="1"/>
  <c r="M43" i="1" s="1"/>
  <c r="L71" i="1"/>
  <c r="M71" i="1" s="1"/>
  <c r="L99" i="1"/>
  <c r="M99" i="1" s="1"/>
  <c r="L113" i="1"/>
  <c r="M113" i="1" s="1"/>
  <c r="L83" i="1"/>
  <c r="M83" i="1" s="1"/>
  <c r="J64" i="1"/>
  <c r="L64" i="1" s="1"/>
  <c r="M64" i="1" s="1"/>
  <c r="J88" i="1"/>
  <c r="L88" i="1" s="1"/>
  <c r="M88" i="1" s="1"/>
  <c r="P13" i="1"/>
  <c r="O13" i="1"/>
  <c r="Q13" i="1" s="1"/>
  <c r="R13" i="1" s="1"/>
  <c r="P106" i="1"/>
  <c r="O106" i="1"/>
  <c r="O22" i="1"/>
  <c r="Q22" i="1" s="1"/>
  <c r="R22" i="1" s="1"/>
  <c r="O115" i="1"/>
  <c r="Q115" i="1" s="1"/>
  <c r="R115" i="1" s="1"/>
  <c r="O8" i="1"/>
  <c r="Q8" i="1" s="1"/>
  <c r="R8" i="1" s="1"/>
  <c r="O40" i="1"/>
  <c r="Q40" i="1" s="1"/>
  <c r="R40" i="1" s="1"/>
  <c r="O64" i="1"/>
  <c r="Q64" i="1" s="1"/>
  <c r="R64" i="1" s="1"/>
  <c r="O73" i="1"/>
  <c r="Q73" i="1" s="1"/>
  <c r="R73" i="1" s="1"/>
  <c r="P82" i="1"/>
  <c r="Q82" i="1" s="1"/>
  <c r="R82" i="1" s="1"/>
  <c r="O17" i="1"/>
  <c r="Q17" i="1" s="1"/>
  <c r="R17" i="1" s="1"/>
  <c r="P41" i="1"/>
  <c r="O41" i="1"/>
  <c r="Q41" i="1" s="1"/>
  <c r="R41" i="1" s="1"/>
  <c r="P92" i="1"/>
  <c r="O92" i="1"/>
  <c r="Q92" i="1" s="1"/>
  <c r="R92" i="1" s="1"/>
  <c r="O110" i="1"/>
  <c r="Q110" i="1" s="1"/>
  <c r="R110" i="1" s="1"/>
  <c r="O101" i="1"/>
  <c r="Q101" i="1" s="1"/>
  <c r="R101" i="1" s="1"/>
  <c r="P55" i="1"/>
  <c r="O55" i="1"/>
  <c r="Q55" i="1" s="1"/>
  <c r="R55" i="1" s="1"/>
  <c r="P31" i="1"/>
  <c r="Q31" i="1" s="1"/>
  <c r="R31" i="1" s="1"/>
  <c r="P120" i="1"/>
  <c r="O120" i="1"/>
  <c r="Q120" i="1" s="1"/>
  <c r="R120" i="1" s="1"/>
  <c r="P54" i="1"/>
  <c r="Q54" i="1" s="1"/>
  <c r="R54" i="1" s="1"/>
  <c r="O59" i="1"/>
  <c r="Q59" i="1" s="1"/>
  <c r="R59" i="1" s="1"/>
  <c r="P27" i="1"/>
  <c r="O27" i="1"/>
  <c r="Q27" i="1" s="1"/>
  <c r="R27" i="1" s="1"/>
  <c r="O68" i="1"/>
  <c r="Q68" i="1" s="1"/>
  <c r="R68" i="1" s="1"/>
  <c r="O36" i="1"/>
  <c r="Q36" i="1" s="1"/>
  <c r="R36" i="1" s="1"/>
  <c r="P69" i="1"/>
  <c r="O69" i="1"/>
  <c r="Q69" i="1" s="1"/>
  <c r="R69" i="1" s="1"/>
  <c r="P78" i="1"/>
  <c r="O78" i="1"/>
  <c r="Q78" i="1" s="1"/>
  <c r="R78" i="1" s="1"/>
  <c r="O83" i="1"/>
  <c r="Q83" i="1" s="1"/>
  <c r="R83" i="1" s="1"/>
  <c r="O111" i="1"/>
  <c r="Q111" i="1" s="1"/>
  <c r="R111" i="1" s="1"/>
  <c r="O18" i="1"/>
  <c r="Q18" i="1" s="1"/>
  <c r="R18" i="1" s="1"/>
  <c r="O32" i="1"/>
  <c r="Q32" i="1" s="1"/>
  <c r="R32" i="1" s="1"/>
  <c r="O46" i="1"/>
  <c r="Q46" i="1" s="1"/>
  <c r="R46" i="1" s="1"/>
  <c r="O60" i="1"/>
  <c r="Q60" i="1" s="1"/>
  <c r="R60" i="1" s="1"/>
  <c r="O74" i="1"/>
  <c r="Q74" i="1" s="1"/>
  <c r="R74" i="1" s="1"/>
  <c r="O88" i="1"/>
  <c r="Q88" i="1" s="1"/>
  <c r="R88" i="1" s="1"/>
  <c r="P97" i="1"/>
  <c r="O9" i="1"/>
  <c r="Q9" i="1" s="1"/>
  <c r="R9" i="1" s="1"/>
  <c r="O23" i="1"/>
  <c r="Q23" i="1" s="1"/>
  <c r="R23" i="1" s="1"/>
  <c r="O37" i="1"/>
  <c r="Q37" i="1" s="1"/>
  <c r="R37" i="1" s="1"/>
  <c r="O51" i="1"/>
  <c r="Q51" i="1" s="1"/>
  <c r="R51" i="1" s="1"/>
  <c r="O65" i="1"/>
  <c r="Q65" i="1" s="1"/>
  <c r="R65" i="1" s="1"/>
  <c r="O79" i="1"/>
  <c r="Q79" i="1" s="1"/>
  <c r="R79" i="1" s="1"/>
  <c r="O93" i="1"/>
  <c r="Q93" i="1" s="1"/>
  <c r="R93" i="1" s="1"/>
  <c r="P102" i="1"/>
  <c r="Q102" i="1" s="1"/>
  <c r="R102" i="1" s="1"/>
  <c r="O107" i="1"/>
  <c r="Q107" i="1" s="1"/>
  <c r="R107" i="1" s="1"/>
  <c r="P116" i="1"/>
  <c r="Q116" i="1" s="1"/>
  <c r="R116" i="1" s="1"/>
  <c r="O121" i="1"/>
  <c r="Q121" i="1" s="1"/>
  <c r="R121" i="1" s="1"/>
  <c r="O14" i="1"/>
  <c r="Q14" i="1" s="1"/>
  <c r="R14" i="1" s="1"/>
  <c r="O28" i="1"/>
  <c r="Q28" i="1" s="1"/>
  <c r="R28" i="1" s="1"/>
  <c r="O42" i="1"/>
  <c r="Q42" i="1" s="1"/>
  <c r="R42" i="1" s="1"/>
  <c r="O56" i="1"/>
  <c r="Q56" i="1" s="1"/>
  <c r="R56" i="1" s="1"/>
  <c r="O70" i="1"/>
  <c r="Q70" i="1" s="1"/>
  <c r="R70" i="1" s="1"/>
  <c r="O84" i="1"/>
  <c r="Q84" i="1" s="1"/>
  <c r="R84" i="1" s="1"/>
  <c r="O98" i="1"/>
  <c r="Q98" i="1" s="1"/>
  <c r="R98" i="1" s="1"/>
  <c r="O5" i="1"/>
  <c r="Q5" i="1" s="1"/>
  <c r="R5" i="1" s="1"/>
  <c r="O19" i="1"/>
  <c r="Q19" i="1" s="1"/>
  <c r="R19" i="1" s="1"/>
  <c r="O33" i="1"/>
  <c r="Q33" i="1" s="1"/>
  <c r="R33" i="1" s="1"/>
  <c r="O47" i="1"/>
  <c r="Q47" i="1" s="1"/>
  <c r="R47" i="1" s="1"/>
  <c r="O61" i="1"/>
  <c r="Q61" i="1" s="1"/>
  <c r="R61" i="1" s="1"/>
  <c r="O75" i="1"/>
  <c r="Q75" i="1" s="1"/>
  <c r="R75" i="1" s="1"/>
  <c r="O89" i="1"/>
  <c r="Q89" i="1" s="1"/>
  <c r="R89" i="1" s="1"/>
  <c r="O103" i="1"/>
  <c r="Q103" i="1" s="1"/>
  <c r="R103" i="1" s="1"/>
  <c r="P112" i="1"/>
  <c r="Q112" i="1" s="1"/>
  <c r="R112" i="1" s="1"/>
  <c r="O117" i="1"/>
  <c r="Q117" i="1" s="1"/>
  <c r="R117" i="1" s="1"/>
  <c r="O38" i="1"/>
  <c r="Q38" i="1" s="1"/>
  <c r="R38" i="1" s="1"/>
  <c r="O52" i="1"/>
  <c r="Q52" i="1" s="1"/>
  <c r="R52" i="1" s="1"/>
  <c r="O66" i="1"/>
  <c r="Q66" i="1" s="1"/>
  <c r="R66" i="1" s="1"/>
  <c r="O80" i="1"/>
  <c r="Q80" i="1" s="1"/>
  <c r="R80" i="1" s="1"/>
  <c r="O94" i="1"/>
  <c r="Q94" i="1" s="1"/>
  <c r="R94" i="1" s="1"/>
  <c r="O108" i="1"/>
  <c r="Q108" i="1" s="1"/>
  <c r="R108" i="1" s="1"/>
  <c r="O122" i="1"/>
  <c r="Q122" i="1" s="1"/>
  <c r="R122" i="1" s="1"/>
  <c r="O15" i="1"/>
  <c r="Q15" i="1" s="1"/>
  <c r="R15" i="1" s="1"/>
  <c r="O29" i="1"/>
  <c r="Q29" i="1" s="1"/>
  <c r="R29" i="1" s="1"/>
  <c r="O43" i="1"/>
  <c r="Q43" i="1" s="1"/>
  <c r="R43" i="1" s="1"/>
  <c r="O57" i="1"/>
  <c r="Q57" i="1" s="1"/>
  <c r="R57" i="1" s="1"/>
  <c r="O71" i="1"/>
  <c r="Q71" i="1" s="1"/>
  <c r="R71" i="1" s="1"/>
  <c r="O85" i="1"/>
  <c r="Q85" i="1" s="1"/>
  <c r="R85" i="1" s="1"/>
  <c r="O99" i="1"/>
  <c r="Q99" i="1" s="1"/>
  <c r="R99" i="1" s="1"/>
  <c r="O113" i="1"/>
  <c r="Q113" i="1" s="1"/>
  <c r="R113" i="1" s="1"/>
  <c r="O6" i="1"/>
  <c r="Q6" i="1" s="1"/>
  <c r="R6" i="1" s="1"/>
  <c r="O20" i="1"/>
  <c r="Q20" i="1" s="1"/>
  <c r="R20" i="1" s="1"/>
  <c r="O34" i="1"/>
  <c r="Q34" i="1" s="1"/>
  <c r="R34" i="1" s="1"/>
  <c r="O48" i="1"/>
  <c r="Q48" i="1" s="1"/>
  <c r="R48" i="1" s="1"/>
  <c r="O62" i="1"/>
  <c r="Q62" i="1" s="1"/>
  <c r="R62" i="1" s="1"/>
  <c r="O76" i="1"/>
  <c r="Q76" i="1" s="1"/>
  <c r="R76" i="1" s="1"/>
  <c r="O90" i="1"/>
  <c r="Q90" i="1" s="1"/>
  <c r="R90" i="1" s="1"/>
  <c r="O104" i="1"/>
  <c r="Q104" i="1" s="1"/>
  <c r="R104" i="1" s="1"/>
  <c r="O118" i="1"/>
  <c r="Q118" i="1" s="1"/>
  <c r="R118" i="1" s="1"/>
  <c r="L12" i="1"/>
  <c r="M12" i="1" s="1"/>
  <c r="L104" i="1"/>
  <c r="M104" i="1" s="1"/>
  <c r="L118" i="1"/>
  <c r="M118" i="1" s="1"/>
  <c r="L68" i="1"/>
  <c r="M68" i="1" s="1"/>
  <c r="L17" i="1"/>
  <c r="M17" i="1" s="1"/>
  <c r="L103" i="1"/>
  <c r="M103" i="1" s="1"/>
  <c r="L96" i="1"/>
  <c r="M96" i="1" s="1"/>
  <c r="L50" i="1"/>
  <c r="M50" i="1" s="1"/>
  <c r="L26" i="1"/>
  <c r="M26" i="1" s="1"/>
  <c r="L4" i="1"/>
  <c r="M4" i="1" s="1"/>
  <c r="K16" i="1"/>
  <c r="L16" i="1" s="1"/>
  <c r="M16" i="1" s="1"/>
  <c r="K30" i="1"/>
  <c r="L30" i="1" s="1"/>
  <c r="M30" i="1" s="1"/>
  <c r="K44" i="1"/>
  <c r="L44" i="1" s="1"/>
  <c r="M44" i="1" s="1"/>
  <c r="K58" i="1"/>
  <c r="L58" i="1" s="1"/>
  <c r="M58" i="1" s="1"/>
  <c r="K72" i="1"/>
  <c r="L72" i="1" s="1"/>
  <c r="M72" i="1" s="1"/>
  <c r="K86" i="1"/>
  <c r="L86" i="1" s="1"/>
  <c r="M86" i="1" s="1"/>
  <c r="K100" i="1"/>
  <c r="L100" i="1" s="1"/>
  <c r="M100" i="1" s="1"/>
  <c r="K114" i="1"/>
  <c r="L114" i="1" s="1"/>
  <c r="M114" i="1" s="1"/>
  <c r="J11" i="1"/>
  <c r="L11" i="1" s="1"/>
  <c r="M11" i="1" s="1"/>
  <c r="J25" i="1"/>
  <c r="L25" i="1" s="1"/>
  <c r="M25" i="1" s="1"/>
  <c r="J39" i="1"/>
  <c r="L39" i="1" s="1"/>
  <c r="M39" i="1" s="1"/>
  <c r="J53" i="1"/>
  <c r="L53" i="1" s="1"/>
  <c r="M53" i="1" s="1"/>
  <c r="J67" i="1"/>
  <c r="L67" i="1" s="1"/>
  <c r="M67" i="1" s="1"/>
  <c r="J81" i="1"/>
  <c r="L81" i="1" s="1"/>
  <c r="M81" i="1" s="1"/>
  <c r="J95" i="1"/>
  <c r="L95" i="1" s="1"/>
  <c r="M95" i="1" s="1"/>
  <c r="J109" i="1"/>
  <c r="L109" i="1" s="1"/>
  <c r="M109" i="1" s="1"/>
  <c r="J123" i="1"/>
  <c r="L123" i="1" s="1"/>
  <c r="M123" i="1" s="1"/>
  <c r="K17" i="1"/>
  <c r="K31" i="1"/>
  <c r="L31" i="1" s="1"/>
  <c r="M31" i="1" s="1"/>
  <c r="K45" i="1"/>
  <c r="L45" i="1" s="1"/>
  <c r="M45" i="1" s="1"/>
  <c r="K59" i="1"/>
  <c r="L59" i="1" s="1"/>
  <c r="M59" i="1" s="1"/>
  <c r="K73" i="1"/>
  <c r="L73" i="1" s="1"/>
  <c r="M73" i="1" s="1"/>
  <c r="K87" i="1"/>
  <c r="L87" i="1" s="1"/>
  <c r="M87" i="1" s="1"/>
  <c r="K101" i="1"/>
  <c r="L101" i="1" s="1"/>
  <c r="M101" i="1" s="1"/>
  <c r="K115" i="1"/>
  <c r="L115" i="1" s="1"/>
  <c r="M115" i="1" s="1"/>
  <c r="K5" i="1"/>
  <c r="L5" i="1" s="1"/>
  <c r="M5" i="1" s="1"/>
  <c r="K19" i="1"/>
  <c r="L19" i="1" s="1"/>
  <c r="M19" i="1" s="1"/>
  <c r="K33" i="1"/>
  <c r="L33" i="1" s="1"/>
  <c r="M33" i="1" s="1"/>
  <c r="K47" i="1"/>
  <c r="L47" i="1" s="1"/>
  <c r="M47" i="1" s="1"/>
  <c r="K61" i="1"/>
  <c r="L61" i="1" s="1"/>
  <c r="M61" i="1" s="1"/>
  <c r="K75" i="1"/>
  <c r="L75" i="1" s="1"/>
  <c r="M75" i="1" s="1"/>
  <c r="K89" i="1"/>
  <c r="L89" i="1" s="1"/>
  <c r="M89" i="1" s="1"/>
  <c r="K103" i="1"/>
  <c r="K117" i="1"/>
  <c r="L117" i="1" s="1"/>
  <c r="M117" i="1" s="1"/>
  <c r="K6" i="1"/>
  <c r="L6" i="1" s="1"/>
  <c r="M6" i="1" s="1"/>
  <c r="K20" i="1"/>
  <c r="L20" i="1" s="1"/>
  <c r="M20" i="1" s="1"/>
  <c r="K34" i="1"/>
  <c r="L34" i="1" s="1"/>
  <c r="M34" i="1" s="1"/>
  <c r="K48" i="1"/>
  <c r="L48" i="1" s="1"/>
  <c r="M48" i="1" s="1"/>
  <c r="K62" i="1"/>
  <c r="L62" i="1" s="1"/>
  <c r="M62" i="1" s="1"/>
  <c r="K76" i="1"/>
  <c r="L76" i="1" s="1"/>
  <c r="M76" i="1" s="1"/>
  <c r="K90" i="1"/>
  <c r="L90" i="1" s="1"/>
  <c r="M90" i="1" s="1"/>
  <c r="K104" i="1"/>
  <c r="K118" i="1"/>
  <c r="K4" i="1"/>
  <c r="Q54" i="2" l="1"/>
  <c r="R54" i="2" s="1"/>
  <c r="Q69" i="2"/>
  <c r="R69" i="2" s="1"/>
  <c r="Q56" i="2"/>
  <c r="R56" i="2" s="1"/>
  <c r="Q35" i="2"/>
  <c r="R35" i="2" s="1"/>
  <c r="Q8" i="2"/>
  <c r="R8" i="2" s="1"/>
  <c r="L96" i="2"/>
  <c r="M96" i="2" s="1"/>
  <c r="Q42" i="2"/>
  <c r="R42" i="2" s="1"/>
  <c r="Q36" i="2"/>
  <c r="R36" i="2" s="1"/>
  <c r="Q28" i="2"/>
  <c r="R28" i="2" s="1"/>
  <c r="Q106" i="1"/>
  <c r="R106" i="1" s="1"/>
</calcChain>
</file>

<file path=xl/sharedStrings.xml><?xml version="1.0" encoding="utf-8"?>
<sst xmlns="http://schemas.openxmlformats.org/spreadsheetml/2006/main" count="782" uniqueCount="41">
  <si>
    <r>
      <rPr>
        <b/>
        <sz val="10"/>
        <rFont val="Arial"/>
        <family val="2"/>
      </rPr>
      <t>KOLOR WEDŁUG WZORNIKA RAL K7</t>
    </r>
  </si>
  <si>
    <r>
      <rPr>
        <sz val="10"/>
        <rFont val="Arial MT"/>
        <family val="2"/>
      </rPr>
      <t>NAZWA</t>
    </r>
  </si>
  <si>
    <r>
      <rPr>
        <sz val="10"/>
        <rFont val="Arial MT"/>
        <family val="2"/>
      </rPr>
      <t>CENA BRUTTO OPAKOWANIA 20 LTR.</t>
    </r>
  </si>
  <si>
    <r>
      <rPr>
        <b/>
        <sz val="10"/>
        <rFont val="Arial"/>
        <family val="2"/>
      </rPr>
      <t>RAL</t>
    </r>
  </si>
  <si>
    <r>
      <rPr>
        <sz val="10"/>
        <rFont val="Arial MT"/>
        <family val="2"/>
      </rPr>
      <t>RAL STANDARD</t>
    </r>
  </si>
  <si>
    <r>
      <rPr>
        <b/>
        <sz val="10"/>
        <rFont val="Arial"/>
        <family val="2"/>
      </rPr>
      <t>66,40 PLN</t>
    </r>
  </si>
  <si>
    <r>
      <rPr>
        <sz val="10"/>
        <rFont val="Arial MT"/>
        <family val="2"/>
      </rPr>
      <t>RAL SPECJALNY</t>
    </r>
  </si>
  <si>
    <r>
      <rPr>
        <b/>
        <sz val="10"/>
        <rFont val="Arial"/>
        <family val="2"/>
      </rPr>
      <t>78,20 PLN</t>
    </r>
  </si>
  <si>
    <r>
      <rPr>
        <sz val="10"/>
        <rFont val="Arial MT"/>
        <family val="2"/>
      </rPr>
      <t>RAL SPECJALNY EKSTRA</t>
    </r>
  </si>
  <si>
    <r>
      <rPr>
        <b/>
        <sz val="10"/>
        <rFont val="Arial"/>
        <family val="2"/>
      </rPr>
      <t>94,10 PLN</t>
    </r>
  </si>
  <si>
    <t>BASE 2</t>
  </si>
  <si>
    <t>BASE 5</t>
  </si>
  <si>
    <t>BASE 1</t>
  </si>
  <si>
    <t>BASE 6</t>
  </si>
  <si>
    <t>BASE 3</t>
  </si>
  <si>
    <t>poj 5l</t>
  </si>
  <si>
    <t>poj 20l</t>
  </si>
  <si>
    <t>CENA BRUTTO  baza OPAKOWANIA 20 LTR.</t>
  </si>
  <si>
    <t>CENA BRUTTO  pigment OPAKOWANIA 20 LTR.</t>
  </si>
  <si>
    <t xml:space="preserve">suma </t>
  </si>
  <si>
    <t>różnica</t>
  </si>
  <si>
    <t>CENA BRUTTO  1 ltr OPAKOWANIA 5LTR.</t>
  </si>
  <si>
    <t>CENA BRUTTO  baza OPAKOWANIA 5 LTR.</t>
  </si>
  <si>
    <t>CENA BRUTTO  pigment OPAKOWANIA 5 LTR.</t>
  </si>
  <si>
    <t>Pigment 5ltr</t>
  </si>
  <si>
    <t>Pigment 20ltr</t>
  </si>
  <si>
    <t>CENABR1</t>
  </si>
  <si>
    <t>CENABR5</t>
  </si>
  <si>
    <t xml:space="preserve">Cena brutto opakowania 1 ltr </t>
  </si>
  <si>
    <t>RAL</t>
  </si>
  <si>
    <t>CENABR20</t>
  </si>
  <si>
    <t>CENA BRUTTO OPAKOWANIA 5 LTR.</t>
  </si>
  <si>
    <t>MCI5</t>
  </si>
  <si>
    <t>MCI20</t>
  </si>
  <si>
    <t>CENA BRUTTO  1 ltr  farby w OPAKOWANIu 20 LTR.</t>
  </si>
  <si>
    <t>CENABR1_20</t>
  </si>
  <si>
    <t>CENABRBAZA18_20</t>
  </si>
  <si>
    <t>CENABRMCI_20</t>
  </si>
  <si>
    <t>CENABR1_5</t>
  </si>
  <si>
    <t>CENABRBAZA4,5_5</t>
  </si>
  <si>
    <t>CENABRMCI_5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</si>
</sst>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z_ł_-;\-* #,##0.00\ _z_ł_-;_-* &quot;-&quot;??\ _z_ł_-;_-@_-"/>
  </numFmts>
  <fonts count="8">
    <font>
      <sz val="10"/>
      <color rgb="FF000000"/>
      <name val="Times New Roman"/>
      <charset val="204"/>
    </font>
    <font>
      <b/>
      <sz val="10"/>
      <name val="Arial"/>
    </font>
    <font>
      <sz val="10"/>
      <name val="Arial MT"/>
    </font>
    <font>
      <sz val="10"/>
      <color rgb="FF000000"/>
      <name val="Arial MT"/>
      <family val="2"/>
    </font>
    <font>
      <b/>
      <sz val="10"/>
      <name val="Arial"/>
      <family val="2"/>
    </font>
    <font>
      <sz val="10"/>
      <name val="Arial MT"/>
      <family val="2"/>
    </font>
    <font>
      <sz val="10"/>
      <color rgb="FF000000"/>
      <name val="Times New Roman"/>
      <family val="1"/>
      <charset val="238"/>
    </font>
    <font>
      <b/>
      <sz val="10"/>
      <name val="Arial MT"/>
      <charset val="238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0" fontId="1" fillId="0" borderId="1" xfId="0" applyFont="1" applyBorder="1" applyAlignment="1">
      <alignment horizontal="right" vertical="top" wrapText="1"/>
    </xf>
    <xf numFmtId="0" fontId="2" fillId="0" borderId="5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right" vertical="top" wrapText="1"/>
    </xf>
    <xf numFmtId="0" fontId="5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left" vertical="top" wrapText="1"/>
    </xf>
    <xf numFmtId="2" fontId="1" fillId="0" borderId="1" xfId="0" applyNumberFormat="1" applyFont="1" applyBorder="1" applyAlignment="1">
      <alignment horizontal="right" vertical="top" wrapText="1"/>
    </xf>
    <xf numFmtId="2" fontId="1" fillId="0" borderId="5" xfId="0" applyNumberFormat="1" applyFont="1" applyBorder="1" applyAlignment="1">
      <alignment horizontal="right" vertical="top" wrapText="1"/>
    </xf>
    <xf numFmtId="2" fontId="0" fillId="0" borderId="0" xfId="0" applyNumberFormat="1" applyAlignment="1">
      <alignment horizontal="left" vertical="top"/>
    </xf>
    <xf numFmtId="164" fontId="1" fillId="0" borderId="1" xfId="0" applyNumberFormat="1" applyFont="1" applyBorder="1" applyAlignment="1">
      <alignment horizontal="right" vertical="top" wrapText="1"/>
    </xf>
    <xf numFmtId="164" fontId="0" fillId="0" borderId="0" xfId="0" applyNumberForma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left" vertical="top" wrapText="1"/>
    </xf>
    <xf numFmtId="2" fontId="5" fillId="0" borderId="1" xfId="0" applyNumberFormat="1" applyFont="1" applyBorder="1" applyAlignment="1">
      <alignment horizontal="left" vertical="top" wrapText="1"/>
    </xf>
    <xf numFmtId="0" fontId="0" fillId="0" borderId="0" xfId="0" applyAlignment="1">
      <alignment horizontal="center" vertical="top"/>
    </xf>
    <xf numFmtId="2" fontId="7" fillId="0" borderId="1" xfId="0" applyNumberFormat="1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 indent="5"/>
    </xf>
    <xf numFmtId="0" fontId="1" fillId="0" borderId="3" xfId="0" applyFont="1" applyBorder="1" applyAlignment="1">
      <alignment horizontal="left" vertical="top" wrapText="1" indent="5"/>
    </xf>
    <xf numFmtId="0" fontId="1" fillId="0" borderId="4" xfId="0" applyFont="1" applyBorder="1" applyAlignment="1">
      <alignment horizontal="left" vertical="top" wrapText="1" indent="5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3"/>
  <sheetViews>
    <sheetView workbookViewId="0">
      <selection sqref="A1:XFD1048576"/>
    </sheetView>
  </sheetViews>
  <sheetFormatPr defaultRowHeight="13.2"/>
  <cols>
    <col min="1" max="1" width="19.77734375" customWidth="1"/>
    <col min="2" max="2" width="27" customWidth="1"/>
    <col min="3" max="3" width="15.77734375" style="12" customWidth="1"/>
    <col min="4" max="4" width="15.109375" customWidth="1"/>
    <col min="5" max="5" width="15.44140625" style="12" customWidth="1"/>
    <col min="9" max="9" width="16.88671875" customWidth="1"/>
    <col min="10" max="10" width="18.44140625" bestFit="1" customWidth="1"/>
    <col min="11" max="11" width="14.88671875" bestFit="1" customWidth="1"/>
    <col min="12" max="12" width="11" bestFit="1" customWidth="1"/>
    <col min="14" max="14" width="12.33203125" bestFit="1" customWidth="1"/>
    <col min="15" max="15" width="18.33203125" bestFit="1" customWidth="1"/>
    <col min="16" max="16" width="14.88671875" bestFit="1" customWidth="1"/>
    <col min="17" max="18" width="9.5546875" bestFit="1" customWidth="1"/>
  </cols>
  <sheetData>
    <row r="1" spans="1:18" ht="26.4">
      <c r="A1" s="18" t="s">
        <v>29</v>
      </c>
      <c r="C1" s="17" t="s">
        <v>26</v>
      </c>
      <c r="D1" s="17" t="s">
        <v>27</v>
      </c>
      <c r="E1" s="17" t="s">
        <v>30</v>
      </c>
      <c r="G1" t="s">
        <v>32</v>
      </c>
      <c r="H1" t="s">
        <v>33</v>
      </c>
      <c r="I1" s="19" t="s">
        <v>35</v>
      </c>
      <c r="J1" s="19" t="s">
        <v>36</v>
      </c>
      <c r="K1" s="19" t="s">
        <v>37</v>
      </c>
      <c r="N1" s="19" t="s">
        <v>38</v>
      </c>
      <c r="O1" s="19" t="s">
        <v>39</v>
      </c>
      <c r="P1" s="19" t="s">
        <v>40</v>
      </c>
    </row>
    <row r="2" spans="1:18" ht="67.5" customHeight="1">
      <c r="A2" s="1" t="s">
        <v>0</v>
      </c>
      <c r="B2" s="2" t="s">
        <v>1</v>
      </c>
      <c r="C2" s="17" t="s">
        <v>28</v>
      </c>
      <c r="D2" s="17" t="s">
        <v>31</v>
      </c>
      <c r="E2" s="9" t="s">
        <v>2</v>
      </c>
      <c r="G2" s="16" t="s">
        <v>24</v>
      </c>
      <c r="H2" s="16" t="s">
        <v>25</v>
      </c>
      <c r="I2" s="8" t="s">
        <v>34</v>
      </c>
      <c r="J2" s="8" t="s">
        <v>17</v>
      </c>
      <c r="K2" s="8" t="s">
        <v>18</v>
      </c>
      <c r="L2" s="15" t="s">
        <v>19</v>
      </c>
      <c r="M2" s="15" t="s">
        <v>20</v>
      </c>
      <c r="N2" s="8" t="s">
        <v>21</v>
      </c>
      <c r="O2" s="8" t="s">
        <v>22</v>
      </c>
      <c r="P2" s="8" t="s">
        <v>23</v>
      </c>
      <c r="Q2" s="15" t="s">
        <v>19</v>
      </c>
      <c r="R2" s="15" t="s">
        <v>20</v>
      </c>
    </row>
    <row r="3" spans="1:18" ht="14.25" customHeight="1">
      <c r="A3" s="20" t="s">
        <v>3</v>
      </c>
      <c r="B3" s="21"/>
      <c r="C3" s="21"/>
      <c r="D3" s="21"/>
      <c r="E3" s="22"/>
      <c r="G3" t="s">
        <v>15</v>
      </c>
      <c r="H3" t="s">
        <v>16</v>
      </c>
    </row>
    <row r="4" spans="1:18" ht="14.25" customHeight="1">
      <c r="A4" s="4">
        <v>1001</v>
      </c>
      <c r="B4" s="3" t="s">
        <v>4</v>
      </c>
      <c r="C4" s="10">
        <v>66.400000000000006</v>
      </c>
      <c r="D4" s="5">
        <v>298.8</v>
      </c>
      <c r="E4" s="13">
        <v>992.02</v>
      </c>
      <c r="F4" t="s">
        <v>10</v>
      </c>
      <c r="G4">
        <v>0.08</v>
      </c>
      <c r="H4">
        <v>0.31</v>
      </c>
      <c r="I4" s="14">
        <f t="shared" ref="I4:I35" si="0">+E4/(18+H4)</f>
        <v>54.179137083560896</v>
      </c>
      <c r="J4" s="14">
        <f>18*I4</f>
        <v>975.22446750409608</v>
      </c>
      <c r="K4">
        <f>+ROUND(I4*H4,2)</f>
        <v>16.8</v>
      </c>
      <c r="L4" s="14">
        <f>+J4+K4</f>
        <v>992.02446750409604</v>
      </c>
      <c r="M4" s="14">
        <f t="shared" ref="M4:M35" si="1">+L4-E4</f>
        <v>4.4675040960555634E-3</v>
      </c>
      <c r="N4" s="14">
        <f>+D4/(4.5+G4)</f>
        <v>65.24017467248909</v>
      </c>
      <c r="O4" s="14">
        <f>4.5*N4</f>
        <v>293.58078602620088</v>
      </c>
      <c r="P4">
        <f>+ROUND(G4*N4,2)</f>
        <v>5.22</v>
      </c>
      <c r="Q4" s="14">
        <f>+O4+P4</f>
        <v>298.80078602620091</v>
      </c>
      <c r="R4" s="14">
        <f>+Q4-D4</f>
        <v>7.8602620089895936E-4</v>
      </c>
    </row>
    <row r="5" spans="1:18" ht="14.25" customHeight="1">
      <c r="A5" s="4">
        <v>1002</v>
      </c>
      <c r="B5" s="3" t="s">
        <v>6</v>
      </c>
      <c r="C5" s="10" t="s">
        <v>7</v>
      </c>
      <c r="D5" s="5">
        <v>351.9</v>
      </c>
      <c r="E5" s="10">
        <v>1168.31</v>
      </c>
      <c r="F5" t="s">
        <v>10</v>
      </c>
      <c r="G5">
        <v>0.17</v>
      </c>
      <c r="H5">
        <v>0.68</v>
      </c>
      <c r="I5" s="14">
        <f t="shared" si="0"/>
        <v>62.543361884368309</v>
      </c>
      <c r="J5" s="14">
        <f t="shared" ref="J5:J68" si="2">18*I5</f>
        <v>1125.7805139186296</v>
      </c>
      <c r="K5">
        <f t="shared" ref="K5:K68" si="3">+ROUND(I5*H5,2)</f>
        <v>42.53</v>
      </c>
      <c r="L5" s="14">
        <f t="shared" ref="L5:L68" si="4">+J5+K5</f>
        <v>1168.3105139186296</v>
      </c>
      <c r="M5" s="14">
        <f t="shared" si="1"/>
        <v>5.1391862962191226E-4</v>
      </c>
      <c r="N5" s="14">
        <f t="shared" ref="N5:N68" si="5">+D5/(4.5+G5)</f>
        <v>75.353319057815838</v>
      </c>
      <c r="O5" s="14">
        <f t="shared" ref="O5:O68" si="6">4.5*N5</f>
        <v>339.08993576017127</v>
      </c>
      <c r="P5">
        <f t="shared" ref="P5:P68" si="7">+ROUND(G5*N5,2)</f>
        <v>12.81</v>
      </c>
      <c r="Q5" s="14">
        <f t="shared" ref="Q5:Q68" si="8">+O5+P5</f>
        <v>351.89993576017127</v>
      </c>
      <c r="R5" s="14">
        <f t="shared" ref="R5:R68" si="9">+Q5-D5</f>
        <v>-6.4239828702739032E-5</v>
      </c>
    </row>
    <row r="6" spans="1:18" ht="14.25" customHeight="1">
      <c r="A6" s="4">
        <v>1003</v>
      </c>
      <c r="B6" s="3" t="s">
        <v>8</v>
      </c>
      <c r="C6" s="10" t="s">
        <v>9</v>
      </c>
      <c r="D6" s="5">
        <v>423.45</v>
      </c>
      <c r="E6" s="10">
        <v>1405.85</v>
      </c>
      <c r="F6" t="s">
        <v>11</v>
      </c>
      <c r="G6">
        <v>0.21</v>
      </c>
      <c r="H6">
        <v>0.86</v>
      </c>
      <c r="I6" s="14">
        <f t="shared" si="0"/>
        <v>74.54135737009544</v>
      </c>
      <c r="J6" s="14">
        <f t="shared" si="2"/>
        <v>1341.7444326617178</v>
      </c>
      <c r="K6">
        <f t="shared" si="3"/>
        <v>64.11</v>
      </c>
      <c r="L6" s="14">
        <f t="shared" si="4"/>
        <v>1405.8544326617177</v>
      </c>
      <c r="M6" s="14">
        <f t="shared" si="1"/>
        <v>4.4326617178285233E-3</v>
      </c>
      <c r="N6" s="14">
        <f t="shared" si="5"/>
        <v>89.904458598726109</v>
      </c>
      <c r="O6" s="14">
        <f t="shared" si="6"/>
        <v>404.5700636942675</v>
      </c>
      <c r="P6">
        <f t="shared" si="7"/>
        <v>18.88</v>
      </c>
      <c r="Q6" s="14">
        <f t="shared" si="8"/>
        <v>423.4500636942675</v>
      </c>
      <c r="R6" s="14">
        <f t="shared" si="9"/>
        <v>6.3694267510072677E-5</v>
      </c>
    </row>
    <row r="7" spans="1:18" ht="14.25" customHeight="1">
      <c r="A7" s="4">
        <v>1013</v>
      </c>
      <c r="B7" s="3" t="s">
        <v>6</v>
      </c>
      <c r="C7" s="10" t="s">
        <v>7</v>
      </c>
      <c r="D7" s="5">
        <v>351.9</v>
      </c>
      <c r="E7" s="10">
        <v>1168.31</v>
      </c>
      <c r="F7" t="s">
        <v>12</v>
      </c>
      <c r="G7">
        <v>0.03</v>
      </c>
      <c r="H7">
        <v>0.12</v>
      </c>
      <c r="I7" s="14">
        <f t="shared" si="0"/>
        <v>64.476269315673278</v>
      </c>
      <c r="J7" s="14">
        <f t="shared" si="2"/>
        <v>1160.5728476821191</v>
      </c>
      <c r="K7">
        <f t="shared" si="3"/>
        <v>7.74</v>
      </c>
      <c r="L7" s="14">
        <f t="shared" si="4"/>
        <v>1168.3128476821191</v>
      </c>
      <c r="M7" s="14">
        <f t="shared" si="1"/>
        <v>2.8476821191816271E-3</v>
      </c>
      <c r="N7" s="14">
        <f t="shared" si="5"/>
        <v>77.682119205298008</v>
      </c>
      <c r="O7" s="14">
        <f t="shared" si="6"/>
        <v>349.56953642384104</v>
      </c>
      <c r="P7">
        <f t="shared" si="7"/>
        <v>2.33</v>
      </c>
      <c r="Q7" s="14">
        <f t="shared" si="8"/>
        <v>351.89953642384103</v>
      </c>
      <c r="R7" s="14">
        <f t="shared" si="9"/>
        <v>-4.6357615894976334E-4</v>
      </c>
    </row>
    <row r="8" spans="1:18" ht="14.25" customHeight="1">
      <c r="A8" s="4">
        <v>1014</v>
      </c>
      <c r="B8" s="3" t="s">
        <v>6</v>
      </c>
      <c r="C8" s="10" t="s">
        <v>7</v>
      </c>
      <c r="D8" s="5">
        <v>351.9</v>
      </c>
      <c r="E8" s="10">
        <v>1168.31</v>
      </c>
      <c r="F8" t="s">
        <v>12</v>
      </c>
      <c r="G8">
        <v>0.11</v>
      </c>
      <c r="H8">
        <v>0.44</v>
      </c>
      <c r="I8" s="14">
        <f t="shared" si="0"/>
        <v>63.357375271149664</v>
      </c>
      <c r="J8" s="14">
        <f t="shared" si="2"/>
        <v>1140.4327548806939</v>
      </c>
      <c r="K8">
        <f t="shared" si="3"/>
        <v>27.88</v>
      </c>
      <c r="L8" s="14">
        <f t="shared" si="4"/>
        <v>1168.312754880694</v>
      </c>
      <c r="M8" s="14">
        <f t="shared" si="1"/>
        <v>2.7548806940558279E-3</v>
      </c>
      <c r="N8" s="14">
        <f t="shared" si="5"/>
        <v>76.334056399132308</v>
      </c>
      <c r="O8" s="14">
        <f t="shared" si="6"/>
        <v>343.50325379609541</v>
      </c>
      <c r="P8">
        <f t="shared" si="7"/>
        <v>8.4</v>
      </c>
      <c r="Q8" s="14">
        <f t="shared" si="8"/>
        <v>351.90325379609538</v>
      </c>
      <c r="R8" s="14">
        <f t="shared" si="9"/>
        <v>3.2537960954073242E-3</v>
      </c>
    </row>
    <row r="9" spans="1:18" ht="14.25" customHeight="1">
      <c r="A9" s="4">
        <v>1015</v>
      </c>
      <c r="B9" s="3" t="s">
        <v>6</v>
      </c>
      <c r="C9" s="10" t="s">
        <v>7</v>
      </c>
      <c r="D9" s="5">
        <v>351.9</v>
      </c>
      <c r="E9" s="10">
        <v>1168.31</v>
      </c>
      <c r="F9" t="s">
        <v>12</v>
      </c>
      <c r="G9">
        <v>0.04</v>
      </c>
      <c r="H9">
        <v>0.16</v>
      </c>
      <c r="I9" s="14">
        <f t="shared" si="0"/>
        <v>64.334251101321584</v>
      </c>
      <c r="J9" s="14">
        <f t="shared" si="2"/>
        <v>1158.0165198237885</v>
      </c>
      <c r="K9">
        <f t="shared" si="3"/>
        <v>10.29</v>
      </c>
      <c r="L9" s="14">
        <f t="shared" si="4"/>
        <v>1168.3065198237884</v>
      </c>
      <c r="M9" s="14">
        <f t="shared" si="1"/>
        <v>-3.480176211496655E-3</v>
      </c>
      <c r="N9" s="14">
        <f t="shared" si="5"/>
        <v>77.511013215859023</v>
      </c>
      <c r="O9" s="14">
        <f t="shared" si="6"/>
        <v>348.79955947136563</v>
      </c>
      <c r="P9">
        <f t="shared" si="7"/>
        <v>3.1</v>
      </c>
      <c r="Q9" s="14">
        <f t="shared" si="8"/>
        <v>351.89955947136565</v>
      </c>
      <c r="R9" s="14">
        <f t="shared" si="9"/>
        <v>-4.4052863432852973E-4</v>
      </c>
    </row>
    <row r="10" spans="1:18" ht="14.25" customHeight="1">
      <c r="A10" s="4">
        <v>1016</v>
      </c>
      <c r="B10" s="3" t="s">
        <v>6</v>
      </c>
      <c r="C10" s="10" t="s">
        <v>7</v>
      </c>
      <c r="D10" s="5">
        <v>351.9</v>
      </c>
      <c r="E10" s="10">
        <v>1168.31</v>
      </c>
      <c r="F10" t="s">
        <v>10</v>
      </c>
      <c r="G10">
        <v>0.26</v>
      </c>
      <c r="H10">
        <v>1.06</v>
      </c>
      <c r="I10" s="14">
        <f t="shared" si="0"/>
        <v>61.296432318992657</v>
      </c>
      <c r="J10" s="14">
        <f t="shared" si="2"/>
        <v>1103.3357817418678</v>
      </c>
      <c r="K10">
        <f t="shared" si="3"/>
        <v>64.97</v>
      </c>
      <c r="L10" s="14">
        <f t="shared" si="4"/>
        <v>1168.3057817418678</v>
      </c>
      <c r="M10" s="14">
        <f t="shared" si="1"/>
        <v>-4.2182581321412727E-3</v>
      </c>
      <c r="N10" s="14">
        <f t="shared" si="5"/>
        <v>73.928571428571431</v>
      </c>
      <c r="O10" s="14">
        <f t="shared" si="6"/>
        <v>332.67857142857144</v>
      </c>
      <c r="P10">
        <f t="shared" si="7"/>
        <v>19.22</v>
      </c>
      <c r="Q10" s="14">
        <f t="shared" si="8"/>
        <v>351.89857142857147</v>
      </c>
      <c r="R10" s="14">
        <f t="shared" si="9"/>
        <v>-1.4285714285051654E-3</v>
      </c>
    </row>
    <row r="11" spans="1:18" ht="14.25" customHeight="1">
      <c r="A11" s="4">
        <v>1018</v>
      </c>
      <c r="B11" s="3" t="s">
        <v>8</v>
      </c>
      <c r="C11" s="10" t="s">
        <v>9</v>
      </c>
      <c r="D11" s="5">
        <v>423.45</v>
      </c>
      <c r="E11" s="10">
        <v>1405.85</v>
      </c>
      <c r="F11" t="s">
        <v>10</v>
      </c>
      <c r="G11">
        <v>0.31</v>
      </c>
      <c r="H11">
        <v>1.23</v>
      </c>
      <c r="I11" s="14">
        <f t="shared" si="0"/>
        <v>73.107124284971391</v>
      </c>
      <c r="J11" s="14">
        <f t="shared" si="2"/>
        <v>1315.9282371294851</v>
      </c>
      <c r="K11">
        <f t="shared" si="3"/>
        <v>89.92</v>
      </c>
      <c r="L11" s="14">
        <f t="shared" si="4"/>
        <v>1405.8482371294851</v>
      </c>
      <c r="M11" s="14">
        <f t="shared" si="1"/>
        <v>-1.7628705147672008E-3</v>
      </c>
      <c r="N11" s="14">
        <f t="shared" si="5"/>
        <v>88.035343035343047</v>
      </c>
      <c r="O11" s="14">
        <f t="shared" si="6"/>
        <v>396.15904365904373</v>
      </c>
      <c r="P11">
        <f t="shared" si="7"/>
        <v>27.29</v>
      </c>
      <c r="Q11" s="14">
        <f t="shared" si="8"/>
        <v>423.44904365904375</v>
      </c>
      <c r="R11" s="14">
        <f t="shared" si="9"/>
        <v>-9.5634095623609028E-4</v>
      </c>
    </row>
    <row r="12" spans="1:18" ht="14.25" customHeight="1">
      <c r="A12" s="4">
        <v>1021</v>
      </c>
      <c r="B12" s="3" t="s">
        <v>6</v>
      </c>
      <c r="C12" s="10" t="s">
        <v>7</v>
      </c>
      <c r="D12" s="5">
        <v>351.9</v>
      </c>
      <c r="E12" s="10">
        <v>1168.31</v>
      </c>
      <c r="F12" t="s">
        <v>11</v>
      </c>
      <c r="G12">
        <v>0.1</v>
      </c>
      <c r="H12">
        <v>0.38</v>
      </c>
      <c r="I12" s="14">
        <f t="shared" si="0"/>
        <v>63.564200217627857</v>
      </c>
      <c r="J12" s="14">
        <f t="shared" si="2"/>
        <v>1144.1556039173015</v>
      </c>
      <c r="K12">
        <f t="shared" si="3"/>
        <v>24.15</v>
      </c>
      <c r="L12" s="14">
        <f t="shared" si="4"/>
        <v>1168.3056039173016</v>
      </c>
      <c r="M12" s="14">
        <f t="shared" si="1"/>
        <v>-4.3960826983493462E-3</v>
      </c>
      <c r="N12" s="14">
        <f t="shared" si="5"/>
        <v>76.5</v>
      </c>
      <c r="O12" s="14">
        <f t="shared" si="6"/>
        <v>344.25</v>
      </c>
      <c r="P12">
        <f t="shared" si="7"/>
        <v>7.65</v>
      </c>
      <c r="Q12" s="14">
        <f t="shared" si="8"/>
        <v>351.9</v>
      </c>
      <c r="R12" s="14">
        <f t="shared" si="9"/>
        <v>0</v>
      </c>
    </row>
    <row r="13" spans="1:18" ht="14.25" customHeight="1">
      <c r="A13" s="4">
        <v>1023</v>
      </c>
      <c r="B13" s="3" t="s">
        <v>6</v>
      </c>
      <c r="C13" s="10" t="s">
        <v>7</v>
      </c>
      <c r="D13" s="5">
        <v>351.9</v>
      </c>
      <c r="E13" s="10">
        <v>1168.31</v>
      </c>
      <c r="F13" t="s">
        <v>11</v>
      </c>
      <c r="G13">
        <v>0.09</v>
      </c>
      <c r="H13">
        <v>0.37</v>
      </c>
      <c r="I13" s="14">
        <f t="shared" si="0"/>
        <v>63.598802395209574</v>
      </c>
      <c r="J13" s="14">
        <f t="shared" si="2"/>
        <v>1144.7784431137723</v>
      </c>
      <c r="K13">
        <f t="shared" si="3"/>
        <v>23.53</v>
      </c>
      <c r="L13" s="14">
        <f t="shared" si="4"/>
        <v>1168.3084431137722</v>
      </c>
      <c r="M13" s="14">
        <f t="shared" si="1"/>
        <v>-1.5568862277177686E-3</v>
      </c>
      <c r="N13" s="14">
        <f t="shared" si="5"/>
        <v>76.666666666666657</v>
      </c>
      <c r="O13" s="14">
        <f t="shared" si="6"/>
        <v>344.99999999999994</v>
      </c>
      <c r="P13">
        <f t="shared" si="7"/>
        <v>6.9</v>
      </c>
      <c r="Q13" s="14">
        <f t="shared" si="8"/>
        <v>351.89999999999992</v>
      </c>
      <c r="R13" s="14">
        <f t="shared" si="9"/>
        <v>0</v>
      </c>
    </row>
    <row r="14" spans="1:18" ht="14.25" customHeight="1">
      <c r="A14" s="4">
        <v>1033</v>
      </c>
      <c r="B14" s="3" t="s">
        <v>8</v>
      </c>
      <c r="C14" s="10" t="s">
        <v>9</v>
      </c>
      <c r="D14" s="5">
        <v>423.45</v>
      </c>
      <c r="E14" s="10">
        <v>1405.85</v>
      </c>
      <c r="F14" t="s">
        <v>11</v>
      </c>
      <c r="G14">
        <v>0.44</v>
      </c>
      <c r="H14">
        <v>1.75</v>
      </c>
      <c r="I14" s="14">
        <f t="shared" si="0"/>
        <v>71.182278481012659</v>
      </c>
      <c r="J14" s="14">
        <f t="shared" si="2"/>
        <v>1281.2810126582278</v>
      </c>
      <c r="K14">
        <f t="shared" si="3"/>
        <v>124.57</v>
      </c>
      <c r="L14" s="14">
        <f t="shared" si="4"/>
        <v>1405.8510126582278</v>
      </c>
      <c r="M14" s="14">
        <f t="shared" si="1"/>
        <v>1.0126582278644491E-3</v>
      </c>
      <c r="N14" s="14">
        <f t="shared" si="5"/>
        <v>85.718623481781364</v>
      </c>
      <c r="O14" s="14">
        <f t="shared" si="6"/>
        <v>385.73380566801615</v>
      </c>
      <c r="P14">
        <f t="shared" si="7"/>
        <v>37.72</v>
      </c>
      <c r="Q14" s="14">
        <f t="shared" si="8"/>
        <v>423.45380566801612</v>
      </c>
      <c r="R14" s="14">
        <f t="shared" si="9"/>
        <v>3.8056680161275835E-3</v>
      </c>
    </row>
    <row r="15" spans="1:18" ht="14.25" customHeight="1">
      <c r="A15" s="4">
        <v>2001</v>
      </c>
      <c r="B15" s="3" t="s">
        <v>8</v>
      </c>
      <c r="C15" s="10" t="s">
        <v>9</v>
      </c>
      <c r="D15" s="5">
        <v>423.45</v>
      </c>
      <c r="E15" s="10">
        <v>1405.85</v>
      </c>
      <c r="F15" t="s">
        <v>13</v>
      </c>
      <c r="G15">
        <v>0.39</v>
      </c>
      <c r="H15">
        <v>1.55</v>
      </c>
      <c r="I15" s="14">
        <f t="shared" si="0"/>
        <v>71.910485933503836</v>
      </c>
      <c r="J15" s="14">
        <f t="shared" si="2"/>
        <v>1294.3887468030691</v>
      </c>
      <c r="K15">
        <f t="shared" si="3"/>
        <v>111.46</v>
      </c>
      <c r="L15" s="14">
        <f t="shared" si="4"/>
        <v>1405.8487468030692</v>
      </c>
      <c r="M15" s="14">
        <f t="shared" si="1"/>
        <v>-1.2531969307474355E-3</v>
      </c>
      <c r="N15" s="14">
        <f t="shared" si="5"/>
        <v>86.595092024539881</v>
      </c>
      <c r="O15" s="14">
        <f t="shared" si="6"/>
        <v>389.67791411042947</v>
      </c>
      <c r="P15">
        <f t="shared" si="7"/>
        <v>33.770000000000003</v>
      </c>
      <c r="Q15" s="14">
        <f t="shared" si="8"/>
        <v>423.44791411042945</v>
      </c>
      <c r="R15" s="14">
        <f t="shared" si="9"/>
        <v>-2.085889570537347E-3</v>
      </c>
    </row>
    <row r="16" spans="1:18" ht="14.25" customHeight="1">
      <c r="A16" s="4">
        <v>2002</v>
      </c>
      <c r="B16" s="3" t="s">
        <v>8</v>
      </c>
      <c r="C16" s="10" t="s">
        <v>9</v>
      </c>
      <c r="D16" s="5">
        <v>423.45</v>
      </c>
      <c r="E16" s="10">
        <v>1405.85</v>
      </c>
      <c r="F16" t="s">
        <v>13</v>
      </c>
      <c r="G16">
        <v>0.44</v>
      </c>
      <c r="H16">
        <v>1.77</v>
      </c>
      <c r="I16" s="14">
        <f t="shared" si="0"/>
        <v>71.110268082953965</v>
      </c>
      <c r="J16" s="14">
        <f t="shared" si="2"/>
        <v>1279.9848254931715</v>
      </c>
      <c r="K16">
        <f t="shared" si="3"/>
        <v>125.87</v>
      </c>
      <c r="L16" s="14">
        <f t="shared" si="4"/>
        <v>1405.8548254931716</v>
      </c>
      <c r="M16" s="14">
        <f t="shared" si="1"/>
        <v>4.8254931716655847E-3</v>
      </c>
      <c r="N16" s="14">
        <f t="shared" si="5"/>
        <v>85.718623481781364</v>
      </c>
      <c r="O16" s="14">
        <f t="shared" si="6"/>
        <v>385.73380566801615</v>
      </c>
      <c r="P16">
        <f t="shared" si="7"/>
        <v>37.72</v>
      </c>
      <c r="Q16" s="14">
        <f t="shared" si="8"/>
        <v>423.45380566801612</v>
      </c>
      <c r="R16" s="14">
        <f t="shared" si="9"/>
        <v>3.8056680161275835E-3</v>
      </c>
    </row>
    <row r="17" spans="1:18" ht="14.25" customHeight="1">
      <c r="A17" s="4">
        <v>2003</v>
      </c>
      <c r="B17" s="3" t="s">
        <v>8</v>
      </c>
      <c r="C17" s="10" t="s">
        <v>9</v>
      </c>
      <c r="D17" s="5">
        <v>423.45</v>
      </c>
      <c r="E17" s="10">
        <v>1405.85</v>
      </c>
      <c r="F17" t="s">
        <v>13</v>
      </c>
      <c r="G17">
        <v>0.43</v>
      </c>
      <c r="H17">
        <v>1.73</v>
      </c>
      <c r="I17" s="14">
        <f t="shared" si="0"/>
        <v>71.25443487075519</v>
      </c>
      <c r="J17" s="14">
        <f t="shared" si="2"/>
        <v>1282.5798276735934</v>
      </c>
      <c r="K17">
        <f t="shared" si="3"/>
        <v>123.27</v>
      </c>
      <c r="L17" s="14">
        <f t="shared" si="4"/>
        <v>1405.8498276735934</v>
      </c>
      <c r="M17" s="14">
        <f t="shared" si="1"/>
        <v>-1.723264065276453E-4</v>
      </c>
      <c r="N17" s="14">
        <f t="shared" si="5"/>
        <v>85.892494929006091</v>
      </c>
      <c r="O17" s="14">
        <f t="shared" si="6"/>
        <v>386.51622718052738</v>
      </c>
      <c r="P17">
        <f t="shared" si="7"/>
        <v>36.93</v>
      </c>
      <c r="Q17" s="14">
        <f t="shared" si="8"/>
        <v>423.44622718052739</v>
      </c>
      <c r="R17" s="14">
        <f t="shared" si="9"/>
        <v>-3.7728194726014408E-3</v>
      </c>
    </row>
    <row r="18" spans="1:18" ht="14.25" customHeight="1">
      <c r="A18" s="4">
        <v>2004</v>
      </c>
      <c r="B18" s="3" t="s">
        <v>8</v>
      </c>
      <c r="C18" s="10" t="s">
        <v>9</v>
      </c>
      <c r="D18" s="5">
        <v>423.45</v>
      </c>
      <c r="E18" s="10">
        <v>1405.85</v>
      </c>
      <c r="F18" t="s">
        <v>13</v>
      </c>
      <c r="G18">
        <v>0.19</v>
      </c>
      <c r="H18">
        <v>0.74</v>
      </c>
      <c r="I18" s="14">
        <f t="shared" si="0"/>
        <v>75.018676627534688</v>
      </c>
      <c r="J18" s="14">
        <f t="shared" si="2"/>
        <v>1350.3361792956243</v>
      </c>
      <c r="K18">
        <f t="shared" si="3"/>
        <v>55.51</v>
      </c>
      <c r="L18" s="14">
        <f t="shared" si="4"/>
        <v>1405.8461792956243</v>
      </c>
      <c r="M18" s="14">
        <f t="shared" si="1"/>
        <v>-3.8207043755846826E-3</v>
      </c>
      <c r="N18" s="14">
        <f t="shared" si="5"/>
        <v>90.287846481876329</v>
      </c>
      <c r="O18" s="14">
        <f t="shared" si="6"/>
        <v>406.29530916844351</v>
      </c>
      <c r="P18">
        <f t="shared" si="7"/>
        <v>17.149999999999999</v>
      </c>
      <c r="Q18" s="14">
        <f t="shared" si="8"/>
        <v>423.44530916844349</v>
      </c>
      <c r="R18" s="14">
        <f t="shared" si="9"/>
        <v>-4.690831556501962E-3</v>
      </c>
    </row>
    <row r="19" spans="1:18" ht="14.25" customHeight="1">
      <c r="A19" s="4">
        <v>2008</v>
      </c>
      <c r="B19" s="3" t="s">
        <v>8</v>
      </c>
      <c r="C19" s="10" t="s">
        <v>9</v>
      </c>
      <c r="D19" s="5">
        <v>423.45</v>
      </c>
      <c r="E19" s="10">
        <v>1405.85</v>
      </c>
      <c r="F19" t="s">
        <v>13</v>
      </c>
      <c r="G19">
        <v>0.41</v>
      </c>
      <c r="H19">
        <v>1.63</v>
      </c>
      <c r="I19" s="14">
        <f t="shared" si="0"/>
        <v>71.617422312786545</v>
      </c>
      <c r="J19" s="14">
        <f t="shared" si="2"/>
        <v>1289.1136016301577</v>
      </c>
      <c r="K19">
        <f t="shared" si="3"/>
        <v>116.74</v>
      </c>
      <c r="L19" s="14">
        <f t="shared" si="4"/>
        <v>1405.8536016301578</v>
      </c>
      <c r="M19" s="14">
        <f t="shared" si="1"/>
        <v>3.6016301578456478E-3</v>
      </c>
      <c r="N19" s="14">
        <f t="shared" si="5"/>
        <v>86.242362525458248</v>
      </c>
      <c r="O19" s="14">
        <f t="shared" si="6"/>
        <v>388.09063136456211</v>
      </c>
      <c r="P19">
        <f t="shared" si="7"/>
        <v>35.36</v>
      </c>
      <c r="Q19" s="14">
        <f t="shared" si="8"/>
        <v>423.45063136456213</v>
      </c>
      <c r="R19" s="14">
        <f t="shared" si="9"/>
        <v>6.3136456213896963E-4</v>
      </c>
    </row>
    <row r="20" spans="1:18" ht="14.25" customHeight="1">
      <c r="A20" s="4">
        <v>2010</v>
      </c>
      <c r="B20" s="3" t="s">
        <v>8</v>
      </c>
      <c r="C20" s="10" t="s">
        <v>9</v>
      </c>
      <c r="D20" s="5">
        <v>423.45</v>
      </c>
      <c r="E20" s="10">
        <v>1405.85</v>
      </c>
      <c r="F20" t="s">
        <v>13</v>
      </c>
      <c r="G20">
        <v>0.27</v>
      </c>
      <c r="H20">
        <v>1.0900000000000001</v>
      </c>
      <c r="I20" s="14">
        <f t="shared" si="0"/>
        <v>73.643268727082244</v>
      </c>
      <c r="J20" s="14">
        <f t="shared" si="2"/>
        <v>1325.5788370874805</v>
      </c>
      <c r="K20">
        <f t="shared" si="3"/>
        <v>80.27</v>
      </c>
      <c r="L20" s="14">
        <f t="shared" si="4"/>
        <v>1405.8488370874804</v>
      </c>
      <c r="M20" s="14">
        <f t="shared" si="1"/>
        <v>-1.1629125194758672E-3</v>
      </c>
      <c r="N20" s="14">
        <f t="shared" si="5"/>
        <v>88.773584905660385</v>
      </c>
      <c r="O20" s="14">
        <f t="shared" si="6"/>
        <v>399.48113207547175</v>
      </c>
      <c r="P20">
        <f t="shared" si="7"/>
        <v>23.97</v>
      </c>
      <c r="Q20" s="14">
        <f t="shared" si="8"/>
        <v>423.45113207547172</v>
      </c>
      <c r="R20" s="14">
        <f t="shared" si="9"/>
        <v>1.1320754717303316E-3</v>
      </c>
    </row>
    <row r="21" spans="1:18" ht="14.25" customHeight="1">
      <c r="A21" s="4">
        <v>2012</v>
      </c>
      <c r="B21" s="3" t="s">
        <v>6</v>
      </c>
      <c r="C21" s="10" t="s">
        <v>7</v>
      </c>
      <c r="D21" s="5">
        <v>351.9</v>
      </c>
      <c r="E21" s="10">
        <v>1168.31</v>
      </c>
      <c r="F21" t="s">
        <v>14</v>
      </c>
      <c r="G21">
        <v>0.44</v>
      </c>
      <c r="H21">
        <v>1.76</v>
      </c>
      <c r="I21" s="14">
        <f t="shared" si="0"/>
        <v>59.124999999999993</v>
      </c>
      <c r="J21" s="14">
        <f t="shared" si="2"/>
        <v>1064.2499999999998</v>
      </c>
      <c r="K21">
        <f t="shared" si="3"/>
        <v>104.06</v>
      </c>
      <c r="L21" s="14">
        <f t="shared" si="4"/>
        <v>1168.3099999999997</v>
      </c>
      <c r="M21" s="14">
        <f t="shared" si="1"/>
        <v>0</v>
      </c>
      <c r="N21" s="14">
        <f t="shared" si="5"/>
        <v>71.234817813765176</v>
      </c>
      <c r="O21" s="14">
        <f t="shared" si="6"/>
        <v>320.55668016194329</v>
      </c>
      <c r="P21">
        <f t="shared" si="7"/>
        <v>31.34</v>
      </c>
      <c r="Q21" s="14">
        <f t="shared" si="8"/>
        <v>351.89668016194327</v>
      </c>
      <c r="R21" s="14">
        <f t="shared" si="9"/>
        <v>-3.3198380567114327E-3</v>
      </c>
    </row>
    <row r="22" spans="1:18" ht="14.25" customHeight="1">
      <c r="A22" s="4">
        <v>3000</v>
      </c>
      <c r="B22" s="3" t="s">
        <v>6</v>
      </c>
      <c r="C22" s="10" t="s">
        <v>7</v>
      </c>
      <c r="D22" s="5">
        <v>351.9</v>
      </c>
      <c r="E22" s="10">
        <v>1168.31</v>
      </c>
      <c r="F22" t="s">
        <v>14</v>
      </c>
      <c r="G22">
        <v>0.44</v>
      </c>
      <c r="H22">
        <v>1.77</v>
      </c>
      <c r="I22" s="14">
        <f t="shared" si="0"/>
        <v>59.095093576125443</v>
      </c>
      <c r="J22" s="14">
        <f t="shared" si="2"/>
        <v>1063.7116843702579</v>
      </c>
      <c r="K22">
        <f t="shared" si="3"/>
        <v>104.6</v>
      </c>
      <c r="L22" s="14">
        <f t="shared" si="4"/>
        <v>1168.3116843702578</v>
      </c>
      <c r="M22" s="14">
        <f t="shared" si="1"/>
        <v>1.6843702578626107E-3</v>
      </c>
      <c r="N22" s="14">
        <f t="shared" si="5"/>
        <v>71.234817813765176</v>
      </c>
      <c r="O22" s="14">
        <f t="shared" si="6"/>
        <v>320.55668016194329</v>
      </c>
      <c r="P22">
        <f t="shared" si="7"/>
        <v>31.34</v>
      </c>
      <c r="Q22" s="14">
        <f t="shared" si="8"/>
        <v>351.89668016194327</v>
      </c>
      <c r="R22" s="14">
        <f t="shared" si="9"/>
        <v>-3.3198380567114327E-3</v>
      </c>
    </row>
    <row r="23" spans="1:18" ht="14.25" customHeight="1">
      <c r="A23" s="4">
        <v>3001</v>
      </c>
      <c r="B23" s="3" t="s">
        <v>6</v>
      </c>
      <c r="C23" s="10" t="s">
        <v>7</v>
      </c>
      <c r="D23" s="5">
        <v>351.9</v>
      </c>
      <c r="E23" s="10">
        <v>1168.31</v>
      </c>
      <c r="F23" t="s">
        <v>14</v>
      </c>
      <c r="G23">
        <v>0.44</v>
      </c>
      <c r="H23">
        <v>1.77</v>
      </c>
      <c r="I23" s="14">
        <f t="shared" si="0"/>
        <v>59.095093576125443</v>
      </c>
      <c r="J23" s="14">
        <f t="shared" si="2"/>
        <v>1063.7116843702579</v>
      </c>
      <c r="K23">
        <f t="shared" si="3"/>
        <v>104.6</v>
      </c>
      <c r="L23" s="14">
        <f t="shared" si="4"/>
        <v>1168.3116843702578</v>
      </c>
      <c r="M23" s="14">
        <f t="shared" si="1"/>
        <v>1.6843702578626107E-3</v>
      </c>
      <c r="N23" s="14">
        <f t="shared" si="5"/>
        <v>71.234817813765176</v>
      </c>
      <c r="O23" s="14">
        <f t="shared" si="6"/>
        <v>320.55668016194329</v>
      </c>
      <c r="P23">
        <f t="shared" si="7"/>
        <v>31.34</v>
      </c>
      <c r="Q23" s="14">
        <f t="shared" si="8"/>
        <v>351.89668016194327</v>
      </c>
      <c r="R23" s="14">
        <f t="shared" si="9"/>
        <v>-3.3198380567114327E-3</v>
      </c>
    </row>
    <row r="24" spans="1:18" ht="14.25" customHeight="1">
      <c r="A24" s="4">
        <v>3002</v>
      </c>
      <c r="B24" s="3" t="s">
        <v>6</v>
      </c>
      <c r="C24" s="10" t="s">
        <v>7</v>
      </c>
      <c r="D24" s="5">
        <v>351.9</v>
      </c>
      <c r="E24" s="10">
        <v>1168.31</v>
      </c>
      <c r="F24" t="s">
        <v>14</v>
      </c>
      <c r="G24">
        <v>0.38</v>
      </c>
      <c r="H24">
        <v>1.51</v>
      </c>
      <c r="I24" s="14">
        <f t="shared" si="0"/>
        <v>59.882624295233207</v>
      </c>
      <c r="J24" s="14">
        <f t="shared" si="2"/>
        <v>1077.8872373141978</v>
      </c>
      <c r="K24">
        <f t="shared" si="3"/>
        <v>90.42</v>
      </c>
      <c r="L24" s="14">
        <f t="shared" si="4"/>
        <v>1168.3072373141979</v>
      </c>
      <c r="M24" s="14">
        <f t="shared" si="1"/>
        <v>-2.7626858020539657E-3</v>
      </c>
      <c r="N24" s="14">
        <f t="shared" si="5"/>
        <v>72.110655737704917</v>
      </c>
      <c r="O24" s="14">
        <f t="shared" si="6"/>
        <v>324.49795081967216</v>
      </c>
      <c r="P24">
        <f t="shared" si="7"/>
        <v>27.4</v>
      </c>
      <c r="Q24" s="14">
        <f t="shared" si="8"/>
        <v>351.89795081967213</v>
      </c>
      <c r="R24" s="14">
        <f t="shared" si="9"/>
        <v>-2.0491803278446241E-3</v>
      </c>
    </row>
    <row r="25" spans="1:18" ht="14.25" customHeight="1">
      <c r="A25" s="4">
        <v>3003</v>
      </c>
      <c r="B25" s="3" t="s">
        <v>8</v>
      </c>
      <c r="C25" s="10" t="s">
        <v>9</v>
      </c>
      <c r="D25" s="5">
        <v>423.45</v>
      </c>
      <c r="E25" s="10">
        <v>1405.85</v>
      </c>
      <c r="F25" t="s">
        <v>14</v>
      </c>
      <c r="G25">
        <v>0.44</v>
      </c>
      <c r="H25">
        <v>1.74</v>
      </c>
      <c r="I25" s="14">
        <f t="shared" si="0"/>
        <v>71.218338399189463</v>
      </c>
      <c r="J25" s="14">
        <f t="shared" si="2"/>
        <v>1281.9300911854102</v>
      </c>
      <c r="K25">
        <f t="shared" si="3"/>
        <v>123.92</v>
      </c>
      <c r="L25" s="14">
        <f t="shared" si="4"/>
        <v>1405.8500911854103</v>
      </c>
      <c r="M25" s="14">
        <f t="shared" si="1"/>
        <v>9.1185410383332055E-5</v>
      </c>
      <c r="N25" s="14">
        <f t="shared" si="5"/>
        <v>85.718623481781364</v>
      </c>
      <c r="O25" s="14">
        <f t="shared" si="6"/>
        <v>385.73380566801615</v>
      </c>
      <c r="P25">
        <f t="shared" si="7"/>
        <v>37.72</v>
      </c>
      <c r="Q25" s="14">
        <f t="shared" si="8"/>
        <v>423.45380566801612</v>
      </c>
      <c r="R25" s="14">
        <f t="shared" si="9"/>
        <v>3.8056680161275835E-3</v>
      </c>
    </row>
    <row r="26" spans="1:18" ht="14.25" customHeight="1">
      <c r="A26" s="4">
        <v>3004</v>
      </c>
      <c r="B26" s="3" t="s">
        <v>8</v>
      </c>
      <c r="C26" s="10" t="s">
        <v>9</v>
      </c>
      <c r="D26" s="5">
        <v>423.45</v>
      </c>
      <c r="E26" s="10">
        <v>1405.85</v>
      </c>
      <c r="F26" t="s">
        <v>14</v>
      </c>
      <c r="G26">
        <v>0.42</v>
      </c>
      <c r="H26">
        <v>1.67</v>
      </c>
      <c r="I26" s="14">
        <f t="shared" si="0"/>
        <v>71.471784443314675</v>
      </c>
      <c r="J26" s="14">
        <f t="shared" si="2"/>
        <v>1286.492119979664</v>
      </c>
      <c r="K26">
        <f t="shared" si="3"/>
        <v>119.36</v>
      </c>
      <c r="L26" s="14">
        <f t="shared" si="4"/>
        <v>1405.8521199796639</v>
      </c>
      <c r="M26" s="14">
        <f t="shared" si="1"/>
        <v>2.1199796640303248E-3</v>
      </c>
      <c r="N26" s="14">
        <f t="shared" si="5"/>
        <v>86.067073170731703</v>
      </c>
      <c r="O26" s="14">
        <f t="shared" si="6"/>
        <v>387.30182926829264</v>
      </c>
      <c r="P26">
        <f t="shared" si="7"/>
        <v>36.15</v>
      </c>
      <c r="Q26" s="14">
        <f t="shared" si="8"/>
        <v>423.45182926829261</v>
      </c>
      <c r="R26" s="14">
        <f t="shared" si="9"/>
        <v>1.8292682926244197E-3</v>
      </c>
    </row>
    <row r="27" spans="1:18" ht="14.25" customHeight="1">
      <c r="A27" s="4">
        <v>3005</v>
      </c>
      <c r="B27" s="3" t="s">
        <v>4</v>
      </c>
      <c r="C27" s="10" t="s">
        <v>5</v>
      </c>
      <c r="D27" s="5">
        <v>298.8</v>
      </c>
      <c r="E27" s="10">
        <v>992.02</v>
      </c>
      <c r="F27" t="s">
        <v>14</v>
      </c>
      <c r="G27">
        <v>0.2</v>
      </c>
      <c r="H27">
        <v>0.81</v>
      </c>
      <c r="I27" s="14">
        <f t="shared" si="0"/>
        <v>52.738968633705475</v>
      </c>
      <c r="J27" s="14">
        <f t="shared" si="2"/>
        <v>949.3014354066986</v>
      </c>
      <c r="K27">
        <f t="shared" si="3"/>
        <v>42.72</v>
      </c>
      <c r="L27" s="14">
        <f t="shared" si="4"/>
        <v>992.02143540669863</v>
      </c>
      <c r="M27" s="14">
        <f t="shared" si="1"/>
        <v>1.4354066986470571E-3</v>
      </c>
      <c r="N27" s="14">
        <f t="shared" si="5"/>
        <v>63.574468085106382</v>
      </c>
      <c r="O27" s="14">
        <f t="shared" si="6"/>
        <v>286.08510638297872</v>
      </c>
      <c r="P27">
        <f t="shared" si="7"/>
        <v>12.71</v>
      </c>
      <c r="Q27" s="14">
        <f t="shared" si="8"/>
        <v>298.7951063829787</v>
      </c>
      <c r="R27" s="14">
        <f t="shared" si="9"/>
        <v>-4.8936170213096375E-3</v>
      </c>
    </row>
    <row r="28" spans="1:18" ht="14.25" customHeight="1">
      <c r="A28" s="4">
        <v>3007</v>
      </c>
      <c r="B28" s="3" t="s">
        <v>4</v>
      </c>
      <c r="C28" s="10" t="s">
        <v>5</v>
      </c>
      <c r="D28" s="5">
        <v>298.8</v>
      </c>
      <c r="E28" s="10">
        <v>992.02</v>
      </c>
      <c r="F28" t="s">
        <v>14</v>
      </c>
      <c r="G28">
        <v>0.18</v>
      </c>
      <c r="H28">
        <v>0.74</v>
      </c>
      <c r="I28" s="14">
        <f t="shared" si="0"/>
        <v>52.935965848452511</v>
      </c>
      <c r="J28" s="14">
        <f t="shared" si="2"/>
        <v>952.84738527214517</v>
      </c>
      <c r="K28">
        <f t="shared" si="3"/>
        <v>39.17</v>
      </c>
      <c r="L28" s="14">
        <f t="shared" si="4"/>
        <v>992.01738527214513</v>
      </c>
      <c r="M28" s="14">
        <f t="shared" si="1"/>
        <v>-2.6147278548478425E-3</v>
      </c>
      <c r="N28" s="14">
        <f t="shared" si="5"/>
        <v>63.846153846153854</v>
      </c>
      <c r="O28" s="14">
        <f t="shared" si="6"/>
        <v>287.30769230769232</v>
      </c>
      <c r="P28">
        <f t="shared" si="7"/>
        <v>11.49</v>
      </c>
      <c r="Q28" s="14">
        <f t="shared" si="8"/>
        <v>298.79769230769233</v>
      </c>
      <c r="R28" s="14">
        <f t="shared" si="9"/>
        <v>-2.3076923076814637E-3</v>
      </c>
    </row>
    <row r="29" spans="1:18" ht="14.25" customHeight="1">
      <c r="A29" s="4">
        <v>3009</v>
      </c>
      <c r="B29" s="3" t="s">
        <v>4</v>
      </c>
      <c r="C29" s="10" t="s">
        <v>5</v>
      </c>
      <c r="D29" s="5">
        <v>298.8</v>
      </c>
      <c r="E29" s="10">
        <v>992.02</v>
      </c>
      <c r="F29" t="s">
        <v>14</v>
      </c>
      <c r="G29">
        <v>0.18</v>
      </c>
      <c r="H29">
        <v>0.74</v>
      </c>
      <c r="I29" s="14">
        <f t="shared" si="0"/>
        <v>52.935965848452511</v>
      </c>
      <c r="J29" s="14">
        <f t="shared" si="2"/>
        <v>952.84738527214517</v>
      </c>
      <c r="K29">
        <f t="shared" si="3"/>
        <v>39.17</v>
      </c>
      <c r="L29" s="14">
        <f t="shared" si="4"/>
        <v>992.01738527214513</v>
      </c>
      <c r="M29" s="14">
        <f t="shared" si="1"/>
        <v>-2.6147278548478425E-3</v>
      </c>
      <c r="N29" s="14">
        <f t="shared" si="5"/>
        <v>63.846153846153854</v>
      </c>
      <c r="O29" s="14">
        <f t="shared" si="6"/>
        <v>287.30769230769232</v>
      </c>
      <c r="P29">
        <f t="shared" si="7"/>
        <v>11.49</v>
      </c>
      <c r="Q29" s="14">
        <f t="shared" si="8"/>
        <v>298.79769230769233</v>
      </c>
      <c r="R29" s="14">
        <f t="shared" si="9"/>
        <v>-2.3076923076814637E-3</v>
      </c>
    </row>
    <row r="30" spans="1:18" ht="14.25" customHeight="1">
      <c r="A30" s="4">
        <v>3011</v>
      </c>
      <c r="B30" s="3" t="s">
        <v>6</v>
      </c>
      <c r="C30" s="10" t="s">
        <v>7</v>
      </c>
      <c r="D30" s="5">
        <v>351.9</v>
      </c>
      <c r="E30" s="10">
        <v>1168.31</v>
      </c>
      <c r="F30" t="s">
        <v>14</v>
      </c>
      <c r="G30">
        <v>0.27</v>
      </c>
      <c r="H30">
        <v>1.0900000000000001</v>
      </c>
      <c r="I30" s="14">
        <f t="shared" si="0"/>
        <v>61.200104766893659</v>
      </c>
      <c r="J30" s="14">
        <f t="shared" si="2"/>
        <v>1101.6018858040859</v>
      </c>
      <c r="K30">
        <f t="shared" si="3"/>
        <v>66.709999999999994</v>
      </c>
      <c r="L30" s="14">
        <f t="shared" si="4"/>
        <v>1168.3118858040859</v>
      </c>
      <c r="M30" s="14">
        <f t="shared" si="1"/>
        <v>1.8858040859868197E-3</v>
      </c>
      <c r="N30" s="14">
        <f t="shared" si="5"/>
        <v>73.773584905660385</v>
      </c>
      <c r="O30" s="14">
        <f t="shared" si="6"/>
        <v>331.98113207547175</v>
      </c>
      <c r="P30">
        <f t="shared" si="7"/>
        <v>19.920000000000002</v>
      </c>
      <c r="Q30" s="14">
        <f t="shared" si="8"/>
        <v>351.90113207547176</v>
      </c>
      <c r="R30" s="14">
        <f t="shared" si="9"/>
        <v>1.132075471787175E-3</v>
      </c>
    </row>
    <row r="31" spans="1:18" ht="14.25" customHeight="1">
      <c r="A31" s="4">
        <v>3013</v>
      </c>
      <c r="B31" s="3" t="s">
        <v>4</v>
      </c>
      <c r="C31" s="10" t="s">
        <v>5</v>
      </c>
      <c r="D31" s="5">
        <v>298.8</v>
      </c>
      <c r="E31" s="10">
        <v>992.02</v>
      </c>
      <c r="F31" t="s">
        <v>14</v>
      </c>
      <c r="G31">
        <v>0.28999999999999998</v>
      </c>
      <c r="H31">
        <v>1.18</v>
      </c>
      <c r="I31" s="14">
        <f t="shared" si="0"/>
        <v>51.721584984358707</v>
      </c>
      <c r="J31" s="14">
        <f t="shared" si="2"/>
        <v>930.98852971845668</v>
      </c>
      <c r="K31">
        <f t="shared" si="3"/>
        <v>61.03</v>
      </c>
      <c r="L31" s="14">
        <f t="shared" si="4"/>
        <v>992.01852971845665</v>
      </c>
      <c r="M31" s="14">
        <f t="shared" si="1"/>
        <v>-1.4702815433338401E-3</v>
      </c>
      <c r="N31" s="14">
        <f t="shared" si="5"/>
        <v>62.379958246346554</v>
      </c>
      <c r="O31" s="14">
        <f t="shared" si="6"/>
        <v>280.7098121085595</v>
      </c>
      <c r="P31">
        <f t="shared" si="7"/>
        <v>18.09</v>
      </c>
      <c r="Q31" s="14">
        <f t="shared" si="8"/>
        <v>298.79981210855948</v>
      </c>
      <c r="R31" s="14">
        <f t="shared" si="9"/>
        <v>-1.8789144053243945E-4</v>
      </c>
    </row>
    <row r="32" spans="1:18" ht="14.25" customHeight="1">
      <c r="A32" s="4">
        <v>3016</v>
      </c>
      <c r="B32" s="3" t="s">
        <v>6</v>
      </c>
      <c r="C32" s="10" t="s">
        <v>7</v>
      </c>
      <c r="D32" s="5">
        <v>351.9</v>
      </c>
      <c r="E32" s="10">
        <v>1168.31</v>
      </c>
      <c r="F32" t="s">
        <v>14</v>
      </c>
      <c r="G32">
        <v>0.44</v>
      </c>
      <c r="H32">
        <v>1.75</v>
      </c>
      <c r="I32" s="14">
        <f t="shared" si="0"/>
        <v>59.15493670886076</v>
      </c>
      <c r="J32" s="14">
        <f t="shared" si="2"/>
        <v>1064.7888607594937</v>
      </c>
      <c r="K32">
        <f t="shared" si="3"/>
        <v>103.52</v>
      </c>
      <c r="L32" s="14">
        <f t="shared" si="4"/>
        <v>1168.3088607594937</v>
      </c>
      <c r="M32" s="14">
        <f t="shared" si="1"/>
        <v>-1.1392405062906619E-3</v>
      </c>
      <c r="N32" s="14">
        <f t="shared" si="5"/>
        <v>71.234817813765176</v>
      </c>
      <c r="O32" s="14">
        <f t="shared" si="6"/>
        <v>320.55668016194329</v>
      </c>
      <c r="P32">
        <f t="shared" si="7"/>
        <v>31.34</v>
      </c>
      <c r="Q32" s="14">
        <f t="shared" si="8"/>
        <v>351.89668016194327</v>
      </c>
      <c r="R32" s="14">
        <f t="shared" si="9"/>
        <v>-3.3198380567114327E-3</v>
      </c>
    </row>
    <row r="33" spans="1:18" ht="14.25" customHeight="1">
      <c r="A33" s="4">
        <v>3020</v>
      </c>
      <c r="B33" s="3" t="s">
        <v>6</v>
      </c>
      <c r="C33" s="10" t="s">
        <v>7</v>
      </c>
      <c r="D33" s="5">
        <v>351.9</v>
      </c>
      <c r="E33" s="10">
        <v>1168.31</v>
      </c>
      <c r="F33" t="s">
        <v>14</v>
      </c>
      <c r="G33">
        <v>0.44</v>
      </c>
      <c r="H33">
        <v>1.77</v>
      </c>
      <c r="I33" s="14">
        <f t="shared" si="0"/>
        <v>59.095093576125443</v>
      </c>
      <c r="J33" s="14">
        <f t="shared" si="2"/>
        <v>1063.7116843702579</v>
      </c>
      <c r="K33">
        <f t="shared" si="3"/>
        <v>104.6</v>
      </c>
      <c r="L33" s="14">
        <f t="shared" si="4"/>
        <v>1168.3116843702578</v>
      </c>
      <c r="M33" s="14">
        <f t="shared" si="1"/>
        <v>1.6843702578626107E-3</v>
      </c>
      <c r="N33" s="14">
        <f t="shared" si="5"/>
        <v>71.234817813765176</v>
      </c>
      <c r="O33" s="14">
        <f t="shared" si="6"/>
        <v>320.55668016194329</v>
      </c>
      <c r="P33">
        <f t="shared" si="7"/>
        <v>31.34</v>
      </c>
      <c r="Q33" s="14">
        <f t="shared" si="8"/>
        <v>351.89668016194327</v>
      </c>
      <c r="R33" s="14">
        <f t="shared" si="9"/>
        <v>-3.3198380567114327E-3</v>
      </c>
    </row>
    <row r="34" spans="1:18" ht="14.25" customHeight="1">
      <c r="A34" s="4">
        <v>3027</v>
      </c>
      <c r="B34" s="3" t="s">
        <v>6</v>
      </c>
      <c r="C34" s="10" t="s">
        <v>7</v>
      </c>
      <c r="D34" s="5">
        <v>351.9</v>
      </c>
      <c r="E34" s="10">
        <v>1168.31</v>
      </c>
      <c r="F34" t="s">
        <v>14</v>
      </c>
      <c r="G34">
        <v>0.42</v>
      </c>
      <c r="H34">
        <v>1.68</v>
      </c>
      <c r="I34" s="14">
        <f t="shared" si="0"/>
        <v>59.365345528455279</v>
      </c>
      <c r="J34" s="14">
        <f t="shared" si="2"/>
        <v>1068.5762195121949</v>
      </c>
      <c r="K34">
        <f t="shared" si="3"/>
        <v>99.73</v>
      </c>
      <c r="L34" s="14">
        <f t="shared" si="4"/>
        <v>1168.306219512195</v>
      </c>
      <c r="M34" s="14">
        <f t="shared" si="1"/>
        <v>-3.7804878049882973E-3</v>
      </c>
      <c r="N34" s="14">
        <f t="shared" si="5"/>
        <v>71.524390243902431</v>
      </c>
      <c r="O34" s="14">
        <f t="shared" si="6"/>
        <v>321.85975609756093</v>
      </c>
      <c r="P34">
        <f t="shared" si="7"/>
        <v>30.04</v>
      </c>
      <c r="Q34" s="14">
        <f t="shared" si="8"/>
        <v>351.89975609756095</v>
      </c>
      <c r="R34" s="14">
        <f t="shared" si="9"/>
        <v>-2.4390243902416842E-4</v>
      </c>
    </row>
    <row r="35" spans="1:18" ht="14.25" customHeight="1">
      <c r="A35" s="4">
        <v>5002</v>
      </c>
      <c r="B35" s="3" t="s">
        <v>6</v>
      </c>
      <c r="C35" s="10" t="s">
        <v>7</v>
      </c>
      <c r="D35" s="5">
        <v>351.9</v>
      </c>
      <c r="E35" s="10">
        <v>1168.31</v>
      </c>
      <c r="F35" t="s">
        <v>14</v>
      </c>
      <c r="G35">
        <v>0.43</v>
      </c>
      <c r="H35">
        <v>1.71</v>
      </c>
      <c r="I35" s="14">
        <f t="shared" si="0"/>
        <v>59.274987316083198</v>
      </c>
      <c r="J35" s="14">
        <f t="shared" si="2"/>
        <v>1066.9497716894975</v>
      </c>
      <c r="K35">
        <f t="shared" si="3"/>
        <v>101.36</v>
      </c>
      <c r="L35" s="14">
        <f t="shared" si="4"/>
        <v>1168.3097716894974</v>
      </c>
      <c r="M35" s="14">
        <f t="shared" si="1"/>
        <v>-2.2831050250715634E-4</v>
      </c>
      <c r="N35" s="14">
        <f t="shared" si="5"/>
        <v>71.379310344827587</v>
      </c>
      <c r="O35" s="14">
        <f t="shared" si="6"/>
        <v>321.20689655172413</v>
      </c>
      <c r="P35">
        <f t="shared" si="7"/>
        <v>30.69</v>
      </c>
      <c r="Q35" s="14">
        <f t="shared" si="8"/>
        <v>351.89689655172413</v>
      </c>
      <c r="R35" s="14">
        <f t="shared" si="9"/>
        <v>-3.1034482758514059E-3</v>
      </c>
    </row>
    <row r="36" spans="1:18" ht="14.25" customHeight="1">
      <c r="A36" s="4">
        <v>5003</v>
      </c>
      <c r="B36" s="3" t="s">
        <v>4</v>
      </c>
      <c r="C36" s="10" t="s">
        <v>5</v>
      </c>
      <c r="D36" s="5">
        <v>298.8</v>
      </c>
      <c r="E36" s="10">
        <v>992.02</v>
      </c>
      <c r="F36" t="s">
        <v>14</v>
      </c>
      <c r="G36">
        <v>0.22</v>
      </c>
      <c r="H36">
        <v>0.88</v>
      </c>
      <c r="I36" s="14">
        <f t="shared" ref="I36:I67" si="10">+E36/(18+H36)</f>
        <v>52.543432203389834</v>
      </c>
      <c r="J36" s="14">
        <f t="shared" si="2"/>
        <v>945.78177966101703</v>
      </c>
      <c r="K36">
        <f t="shared" si="3"/>
        <v>46.24</v>
      </c>
      <c r="L36" s="14">
        <f t="shared" si="4"/>
        <v>992.02177966101704</v>
      </c>
      <c r="M36" s="14">
        <f t="shared" ref="M36:M67" si="11">+L36-E36</f>
        <v>1.7796610170535132E-3</v>
      </c>
      <c r="N36" s="14">
        <f t="shared" si="5"/>
        <v>63.30508474576272</v>
      </c>
      <c r="O36" s="14">
        <f t="shared" si="6"/>
        <v>284.87288135593224</v>
      </c>
      <c r="P36">
        <f t="shared" si="7"/>
        <v>13.93</v>
      </c>
      <c r="Q36" s="14">
        <f t="shared" si="8"/>
        <v>298.80288135593224</v>
      </c>
      <c r="R36" s="14">
        <f t="shared" si="9"/>
        <v>2.8813559322315996E-3</v>
      </c>
    </row>
    <row r="37" spans="1:18" ht="14.25" customHeight="1">
      <c r="A37" s="4">
        <v>5005</v>
      </c>
      <c r="B37" s="3" t="s">
        <v>4</v>
      </c>
      <c r="C37" s="10" t="s">
        <v>5</v>
      </c>
      <c r="D37" s="5">
        <v>298.8</v>
      </c>
      <c r="E37" s="10">
        <v>992.02</v>
      </c>
      <c r="F37" t="s">
        <v>14</v>
      </c>
      <c r="G37">
        <v>0.28999999999999998</v>
      </c>
      <c r="H37">
        <v>1.1599999999999999</v>
      </c>
      <c r="I37" s="14">
        <f t="shared" si="10"/>
        <v>51.775574112734866</v>
      </c>
      <c r="J37" s="14">
        <f t="shared" si="2"/>
        <v>931.96033402922762</v>
      </c>
      <c r="K37">
        <f t="shared" si="3"/>
        <v>60.06</v>
      </c>
      <c r="L37" s="14">
        <f t="shared" si="4"/>
        <v>992.02033402922757</v>
      </c>
      <c r="M37" s="14">
        <f t="shared" si="11"/>
        <v>3.3402922758796194E-4</v>
      </c>
      <c r="N37" s="14">
        <f t="shared" si="5"/>
        <v>62.379958246346554</v>
      </c>
      <c r="O37" s="14">
        <f t="shared" si="6"/>
        <v>280.7098121085595</v>
      </c>
      <c r="P37">
        <f t="shared" si="7"/>
        <v>18.09</v>
      </c>
      <c r="Q37" s="14">
        <f t="shared" si="8"/>
        <v>298.79981210855948</v>
      </c>
      <c r="R37" s="14">
        <f t="shared" si="9"/>
        <v>-1.8789144053243945E-4</v>
      </c>
    </row>
    <row r="38" spans="1:18" ht="14.25" customHeight="1">
      <c r="A38" s="4">
        <v>5007</v>
      </c>
      <c r="B38" s="3" t="s">
        <v>4</v>
      </c>
      <c r="C38" s="10" t="s">
        <v>5</v>
      </c>
      <c r="D38" s="5">
        <v>298.8</v>
      </c>
      <c r="E38" s="10">
        <v>992.02</v>
      </c>
      <c r="F38" t="s">
        <v>14</v>
      </c>
      <c r="G38">
        <v>0.19</v>
      </c>
      <c r="H38">
        <v>0.76</v>
      </c>
      <c r="I38" s="14">
        <f t="shared" si="10"/>
        <v>52.879530916844345</v>
      </c>
      <c r="J38" s="14">
        <f t="shared" si="2"/>
        <v>951.83155650319827</v>
      </c>
      <c r="K38">
        <f t="shared" si="3"/>
        <v>40.19</v>
      </c>
      <c r="L38" s="14">
        <f t="shared" si="4"/>
        <v>992.02155650319833</v>
      </c>
      <c r="M38" s="14">
        <f t="shared" si="11"/>
        <v>1.5565031983442168E-3</v>
      </c>
      <c r="N38" s="14">
        <f t="shared" si="5"/>
        <v>63.710021321961619</v>
      </c>
      <c r="O38" s="14">
        <f t="shared" si="6"/>
        <v>286.69509594882732</v>
      </c>
      <c r="P38">
        <f t="shared" si="7"/>
        <v>12.1</v>
      </c>
      <c r="Q38" s="14">
        <f t="shared" si="8"/>
        <v>298.79509594882734</v>
      </c>
      <c r="R38" s="14">
        <f t="shared" si="9"/>
        <v>-4.9040511726730074E-3</v>
      </c>
    </row>
    <row r="39" spans="1:18" ht="14.25" customHeight="1">
      <c r="A39" s="4">
        <v>5010</v>
      </c>
      <c r="B39" s="3" t="s">
        <v>4</v>
      </c>
      <c r="C39" s="10" t="s">
        <v>5</v>
      </c>
      <c r="D39" s="5">
        <v>298.8</v>
      </c>
      <c r="E39" s="10">
        <v>992.02</v>
      </c>
      <c r="F39" t="s">
        <v>14</v>
      </c>
      <c r="G39">
        <v>0.21</v>
      </c>
      <c r="H39">
        <v>0.86</v>
      </c>
      <c r="I39" s="14">
        <f t="shared" si="10"/>
        <v>52.599151643690348</v>
      </c>
      <c r="J39" s="14">
        <f t="shared" si="2"/>
        <v>946.78472958642624</v>
      </c>
      <c r="K39">
        <f t="shared" si="3"/>
        <v>45.24</v>
      </c>
      <c r="L39" s="14">
        <f t="shared" si="4"/>
        <v>992.02472958642625</v>
      </c>
      <c r="M39" s="14">
        <f t="shared" si="11"/>
        <v>4.7295864262650866E-3</v>
      </c>
      <c r="N39" s="14">
        <f t="shared" si="5"/>
        <v>63.439490445859875</v>
      </c>
      <c r="O39" s="14">
        <f t="shared" si="6"/>
        <v>285.47770700636943</v>
      </c>
      <c r="P39">
        <f t="shared" si="7"/>
        <v>13.32</v>
      </c>
      <c r="Q39" s="14">
        <f t="shared" si="8"/>
        <v>298.79770700636942</v>
      </c>
      <c r="R39" s="14">
        <f t="shared" si="9"/>
        <v>-2.2929936305899901E-3</v>
      </c>
    </row>
    <row r="40" spans="1:18" ht="14.25" customHeight="1">
      <c r="A40" s="4">
        <v>5011</v>
      </c>
      <c r="B40" s="3" t="s">
        <v>4</v>
      </c>
      <c r="C40" s="10" t="s">
        <v>5</v>
      </c>
      <c r="D40" s="5">
        <v>298.8</v>
      </c>
      <c r="E40" s="10">
        <v>992.02</v>
      </c>
      <c r="F40" t="s">
        <v>14</v>
      </c>
      <c r="G40">
        <v>0.23</v>
      </c>
      <c r="H40">
        <v>0.9</v>
      </c>
      <c r="I40" s="14">
        <f t="shared" si="10"/>
        <v>52.487830687830687</v>
      </c>
      <c r="J40" s="14">
        <f t="shared" si="2"/>
        <v>944.78095238095239</v>
      </c>
      <c r="K40">
        <f t="shared" si="3"/>
        <v>47.24</v>
      </c>
      <c r="L40" s="14">
        <f t="shared" si="4"/>
        <v>992.02095238095239</v>
      </c>
      <c r="M40" s="14">
        <f t="shared" si="11"/>
        <v>9.5238095241256815E-4</v>
      </c>
      <c r="N40" s="14">
        <f t="shared" si="5"/>
        <v>63.171247357293865</v>
      </c>
      <c r="O40" s="14">
        <f t="shared" si="6"/>
        <v>284.27061310782238</v>
      </c>
      <c r="P40">
        <f t="shared" si="7"/>
        <v>14.53</v>
      </c>
      <c r="Q40" s="14">
        <f t="shared" si="8"/>
        <v>298.80061310782236</v>
      </c>
      <c r="R40" s="14">
        <f t="shared" si="9"/>
        <v>6.1310782234613725E-4</v>
      </c>
    </row>
    <row r="41" spans="1:18" ht="14.25" customHeight="1">
      <c r="A41" s="4">
        <v>5012</v>
      </c>
      <c r="B41" s="3" t="s">
        <v>4</v>
      </c>
      <c r="C41" s="10" t="s">
        <v>5</v>
      </c>
      <c r="D41" s="5">
        <v>298.8</v>
      </c>
      <c r="E41" s="10">
        <v>992.02</v>
      </c>
      <c r="F41" t="s">
        <v>14</v>
      </c>
      <c r="G41">
        <v>0.18</v>
      </c>
      <c r="H41">
        <v>0.74</v>
      </c>
      <c r="I41" s="14">
        <f t="shared" si="10"/>
        <v>52.935965848452511</v>
      </c>
      <c r="J41" s="14">
        <f t="shared" si="2"/>
        <v>952.84738527214517</v>
      </c>
      <c r="K41">
        <f t="shared" si="3"/>
        <v>39.17</v>
      </c>
      <c r="L41" s="14">
        <f t="shared" si="4"/>
        <v>992.01738527214513</v>
      </c>
      <c r="M41" s="14">
        <f t="shared" si="11"/>
        <v>-2.6147278548478425E-3</v>
      </c>
      <c r="N41" s="14">
        <f t="shared" si="5"/>
        <v>63.846153846153854</v>
      </c>
      <c r="O41" s="14">
        <f t="shared" si="6"/>
        <v>287.30769230769232</v>
      </c>
      <c r="P41">
        <f t="shared" si="7"/>
        <v>11.49</v>
      </c>
      <c r="Q41" s="14">
        <f t="shared" si="8"/>
        <v>298.79769230769233</v>
      </c>
      <c r="R41" s="14">
        <f t="shared" si="9"/>
        <v>-2.3076923076814637E-3</v>
      </c>
    </row>
    <row r="42" spans="1:18" ht="14.25" customHeight="1">
      <c r="A42" s="4">
        <v>5013</v>
      </c>
      <c r="B42" s="3" t="s">
        <v>6</v>
      </c>
      <c r="C42" s="10" t="s">
        <v>7</v>
      </c>
      <c r="D42" s="5">
        <v>351.9</v>
      </c>
      <c r="E42" s="10">
        <v>1168.31</v>
      </c>
      <c r="F42" t="s">
        <v>14</v>
      </c>
      <c r="G42">
        <v>0.34</v>
      </c>
      <c r="H42">
        <v>1.36</v>
      </c>
      <c r="I42" s="14">
        <f t="shared" si="10"/>
        <v>60.346590909090907</v>
      </c>
      <c r="J42" s="14">
        <f t="shared" si="2"/>
        <v>1086.2386363636363</v>
      </c>
      <c r="K42">
        <f t="shared" si="3"/>
        <v>82.07</v>
      </c>
      <c r="L42" s="14">
        <f t="shared" si="4"/>
        <v>1168.3086363636362</v>
      </c>
      <c r="M42" s="14">
        <f t="shared" si="11"/>
        <v>-1.3636363637488103E-3</v>
      </c>
      <c r="N42" s="14">
        <f t="shared" si="5"/>
        <v>72.706611570247929</v>
      </c>
      <c r="O42" s="14">
        <f t="shared" si="6"/>
        <v>327.17975206611567</v>
      </c>
      <c r="P42">
        <f t="shared" si="7"/>
        <v>24.72</v>
      </c>
      <c r="Q42" s="14">
        <f t="shared" si="8"/>
        <v>351.89975206611564</v>
      </c>
      <c r="R42" s="14">
        <f t="shared" si="9"/>
        <v>-2.4793388433863583E-4</v>
      </c>
    </row>
    <row r="43" spans="1:18" ht="14.25" customHeight="1">
      <c r="A43" s="4">
        <v>5015</v>
      </c>
      <c r="B43" s="3" t="s">
        <v>4</v>
      </c>
      <c r="C43" s="10" t="s">
        <v>5</v>
      </c>
      <c r="D43" s="5">
        <v>298.8</v>
      </c>
      <c r="E43" s="10">
        <v>992.02</v>
      </c>
      <c r="F43" t="s">
        <v>14</v>
      </c>
      <c r="G43">
        <v>0.19</v>
      </c>
      <c r="H43">
        <v>0.77</v>
      </c>
      <c r="I43" s="14">
        <f t="shared" si="10"/>
        <v>52.851358550879063</v>
      </c>
      <c r="J43" s="14">
        <f t="shared" si="2"/>
        <v>951.32445391582314</v>
      </c>
      <c r="K43">
        <f t="shared" si="3"/>
        <v>40.700000000000003</v>
      </c>
      <c r="L43" s="14">
        <f t="shared" si="4"/>
        <v>992.02445391582319</v>
      </c>
      <c r="M43" s="14">
        <f t="shared" si="11"/>
        <v>4.4539158232055343E-3</v>
      </c>
      <c r="N43" s="14">
        <f t="shared" si="5"/>
        <v>63.710021321961619</v>
      </c>
      <c r="O43" s="14">
        <f t="shared" si="6"/>
        <v>286.69509594882732</v>
      </c>
      <c r="P43">
        <f t="shared" si="7"/>
        <v>12.1</v>
      </c>
      <c r="Q43" s="14">
        <f t="shared" si="8"/>
        <v>298.79509594882734</v>
      </c>
      <c r="R43" s="14">
        <f t="shared" si="9"/>
        <v>-4.9040511726730074E-3</v>
      </c>
    </row>
    <row r="44" spans="1:18" ht="14.25" customHeight="1">
      <c r="A44" s="4">
        <v>5017</v>
      </c>
      <c r="B44" s="3" t="s">
        <v>4</v>
      </c>
      <c r="C44" s="10" t="s">
        <v>5</v>
      </c>
      <c r="D44" s="5">
        <v>298.8</v>
      </c>
      <c r="E44" s="10">
        <v>992.02</v>
      </c>
      <c r="F44" t="s">
        <v>14</v>
      </c>
      <c r="G44">
        <v>0.24</v>
      </c>
      <c r="H44">
        <v>0.96</v>
      </c>
      <c r="I44" s="14">
        <f t="shared" si="10"/>
        <v>52.321729957805907</v>
      </c>
      <c r="J44" s="14">
        <f t="shared" si="2"/>
        <v>941.79113924050637</v>
      </c>
      <c r="K44">
        <f t="shared" si="3"/>
        <v>50.23</v>
      </c>
      <c r="L44" s="14">
        <f t="shared" si="4"/>
        <v>992.02113924050639</v>
      </c>
      <c r="M44" s="14">
        <f t="shared" si="11"/>
        <v>1.1392405064043487E-3</v>
      </c>
      <c r="N44" s="14">
        <f t="shared" si="5"/>
        <v>63.037974683544306</v>
      </c>
      <c r="O44" s="14">
        <f t="shared" si="6"/>
        <v>283.6708860759494</v>
      </c>
      <c r="P44">
        <f t="shared" si="7"/>
        <v>15.13</v>
      </c>
      <c r="Q44" s="14">
        <f t="shared" si="8"/>
        <v>298.80088607594939</v>
      </c>
      <c r="R44" s="14">
        <f t="shared" si="9"/>
        <v>8.86075949381393E-4</v>
      </c>
    </row>
    <row r="45" spans="1:18" ht="14.25" customHeight="1">
      <c r="A45" s="4">
        <v>5019</v>
      </c>
      <c r="B45" s="3" t="s">
        <v>4</v>
      </c>
      <c r="C45" s="10" t="s">
        <v>5</v>
      </c>
      <c r="D45" s="5">
        <v>298.8</v>
      </c>
      <c r="E45" s="10">
        <v>992.02</v>
      </c>
      <c r="F45" t="s">
        <v>14</v>
      </c>
      <c r="G45">
        <v>0.2</v>
      </c>
      <c r="H45">
        <v>0.8</v>
      </c>
      <c r="I45" s="14">
        <f t="shared" si="10"/>
        <v>52.767021276595742</v>
      </c>
      <c r="J45" s="14">
        <f t="shared" si="2"/>
        <v>949.80638297872338</v>
      </c>
      <c r="K45">
        <f t="shared" si="3"/>
        <v>42.21</v>
      </c>
      <c r="L45" s="14">
        <f t="shared" si="4"/>
        <v>992.01638297872341</v>
      </c>
      <c r="M45" s="14">
        <f t="shared" si="11"/>
        <v>-3.6170212765682663E-3</v>
      </c>
      <c r="N45" s="14">
        <f t="shared" si="5"/>
        <v>63.574468085106382</v>
      </c>
      <c r="O45" s="14">
        <f t="shared" si="6"/>
        <v>286.08510638297872</v>
      </c>
      <c r="P45">
        <f t="shared" si="7"/>
        <v>12.71</v>
      </c>
      <c r="Q45" s="14">
        <f t="shared" si="8"/>
        <v>298.7951063829787</v>
      </c>
      <c r="R45" s="14">
        <f t="shared" si="9"/>
        <v>-4.8936170213096375E-3</v>
      </c>
    </row>
    <row r="46" spans="1:18" ht="14.25" customHeight="1">
      <c r="A46" s="4">
        <v>5021</v>
      </c>
      <c r="B46" s="3" t="s">
        <v>4</v>
      </c>
      <c r="C46" s="10" t="s">
        <v>5</v>
      </c>
      <c r="D46" s="5">
        <v>298.8</v>
      </c>
      <c r="E46" s="10">
        <v>992.02</v>
      </c>
      <c r="F46" t="s">
        <v>14</v>
      </c>
      <c r="G46">
        <v>0.22</v>
      </c>
      <c r="H46">
        <v>0.86</v>
      </c>
      <c r="I46" s="14">
        <f t="shared" si="10"/>
        <v>52.599151643690348</v>
      </c>
      <c r="J46" s="14">
        <f t="shared" si="2"/>
        <v>946.78472958642624</v>
      </c>
      <c r="K46">
        <f t="shared" si="3"/>
        <v>45.24</v>
      </c>
      <c r="L46" s="14">
        <f t="shared" si="4"/>
        <v>992.02472958642625</v>
      </c>
      <c r="M46" s="14">
        <f t="shared" si="11"/>
        <v>4.7295864262650866E-3</v>
      </c>
      <c r="N46" s="14">
        <f t="shared" si="5"/>
        <v>63.30508474576272</v>
      </c>
      <c r="O46" s="14">
        <f t="shared" si="6"/>
        <v>284.87288135593224</v>
      </c>
      <c r="P46">
        <f t="shared" si="7"/>
        <v>13.93</v>
      </c>
      <c r="Q46" s="14">
        <f t="shared" si="8"/>
        <v>298.80288135593224</v>
      </c>
      <c r="R46" s="14">
        <f t="shared" si="9"/>
        <v>2.8813559322315996E-3</v>
      </c>
    </row>
    <row r="47" spans="1:18" ht="14.25" customHeight="1">
      <c r="A47" s="4">
        <v>5024</v>
      </c>
      <c r="B47" s="3" t="s">
        <v>4</v>
      </c>
      <c r="C47" s="10" t="s">
        <v>5</v>
      </c>
      <c r="D47" s="5">
        <v>298.8</v>
      </c>
      <c r="E47" s="10">
        <v>992.02</v>
      </c>
      <c r="F47" t="s">
        <v>10</v>
      </c>
      <c r="G47">
        <v>0.06</v>
      </c>
      <c r="H47">
        <v>0.23</v>
      </c>
      <c r="I47" s="14">
        <f t="shared" si="10"/>
        <v>54.416895227646734</v>
      </c>
      <c r="J47" s="14">
        <f t="shared" si="2"/>
        <v>979.50411409764115</v>
      </c>
      <c r="K47">
        <f t="shared" si="3"/>
        <v>12.52</v>
      </c>
      <c r="L47" s="14">
        <f t="shared" si="4"/>
        <v>992.02411409764113</v>
      </c>
      <c r="M47" s="14">
        <f t="shared" si="11"/>
        <v>4.1140976411497832E-3</v>
      </c>
      <c r="N47" s="14">
        <f t="shared" si="5"/>
        <v>65.526315789473699</v>
      </c>
      <c r="O47" s="14">
        <f t="shared" si="6"/>
        <v>294.86842105263167</v>
      </c>
      <c r="P47">
        <f t="shared" si="7"/>
        <v>3.93</v>
      </c>
      <c r="Q47" s="14">
        <f t="shared" si="8"/>
        <v>298.79842105263168</v>
      </c>
      <c r="R47" s="14">
        <f t="shared" si="9"/>
        <v>-1.5789473683298638E-3</v>
      </c>
    </row>
    <row r="48" spans="1:18" ht="14.25" customHeight="1">
      <c r="A48" s="4">
        <v>6000</v>
      </c>
      <c r="B48" s="3" t="s">
        <v>4</v>
      </c>
      <c r="C48" s="10" t="s">
        <v>5</v>
      </c>
      <c r="D48" s="5">
        <v>298.8</v>
      </c>
      <c r="E48" s="10">
        <v>992.02</v>
      </c>
      <c r="F48" t="s">
        <v>14</v>
      </c>
      <c r="G48">
        <v>0.21</v>
      </c>
      <c r="H48">
        <v>0.82</v>
      </c>
      <c r="I48" s="14">
        <f t="shared" si="10"/>
        <v>52.710945802337939</v>
      </c>
      <c r="J48" s="14">
        <f t="shared" si="2"/>
        <v>948.79702444208294</v>
      </c>
      <c r="K48">
        <f t="shared" si="3"/>
        <v>43.22</v>
      </c>
      <c r="L48" s="14">
        <f t="shared" si="4"/>
        <v>992.01702444208297</v>
      </c>
      <c r="M48" s="14">
        <f t="shared" si="11"/>
        <v>-2.9755579170114288E-3</v>
      </c>
      <c r="N48" s="14">
        <f t="shared" si="5"/>
        <v>63.439490445859875</v>
      </c>
      <c r="O48" s="14">
        <f t="shared" si="6"/>
        <v>285.47770700636943</v>
      </c>
      <c r="P48">
        <f t="shared" si="7"/>
        <v>13.32</v>
      </c>
      <c r="Q48" s="14">
        <f t="shared" si="8"/>
        <v>298.79770700636942</v>
      </c>
      <c r="R48" s="14">
        <f t="shared" si="9"/>
        <v>-2.2929936305899901E-3</v>
      </c>
    </row>
    <row r="49" spans="1:18" ht="14.25" customHeight="1">
      <c r="A49" s="4">
        <v>6001</v>
      </c>
      <c r="B49" s="3" t="s">
        <v>6</v>
      </c>
      <c r="C49" s="10" t="s">
        <v>7</v>
      </c>
      <c r="D49" s="5">
        <v>351.9</v>
      </c>
      <c r="E49" s="10">
        <v>1168.31</v>
      </c>
      <c r="F49" t="s">
        <v>14</v>
      </c>
      <c r="G49">
        <v>0.44</v>
      </c>
      <c r="H49">
        <v>1.76</v>
      </c>
      <c r="I49" s="14">
        <f t="shared" si="10"/>
        <v>59.124999999999993</v>
      </c>
      <c r="J49" s="14">
        <f t="shared" si="2"/>
        <v>1064.2499999999998</v>
      </c>
      <c r="K49">
        <f t="shared" si="3"/>
        <v>104.06</v>
      </c>
      <c r="L49" s="14">
        <f t="shared" si="4"/>
        <v>1168.3099999999997</v>
      </c>
      <c r="M49" s="14">
        <f t="shared" si="11"/>
        <v>0</v>
      </c>
      <c r="N49" s="14">
        <f t="shared" si="5"/>
        <v>71.234817813765176</v>
      </c>
      <c r="O49" s="14">
        <f t="shared" si="6"/>
        <v>320.55668016194329</v>
      </c>
      <c r="P49">
        <f t="shared" si="7"/>
        <v>31.34</v>
      </c>
      <c r="Q49" s="14">
        <f t="shared" si="8"/>
        <v>351.89668016194327</v>
      </c>
      <c r="R49" s="14">
        <f t="shared" si="9"/>
        <v>-3.3198380567114327E-3</v>
      </c>
    </row>
    <row r="50" spans="1:18" ht="14.25" customHeight="1">
      <c r="A50" s="4">
        <v>6002</v>
      </c>
      <c r="B50" s="3" t="s">
        <v>6</v>
      </c>
      <c r="C50" s="10" t="s">
        <v>7</v>
      </c>
      <c r="D50" s="5">
        <v>351.9</v>
      </c>
      <c r="E50" s="10">
        <v>1168.31</v>
      </c>
      <c r="F50" t="s">
        <v>14</v>
      </c>
      <c r="G50">
        <v>0.35</v>
      </c>
      <c r="H50">
        <v>1.41</v>
      </c>
      <c r="I50" s="14">
        <f t="shared" si="10"/>
        <v>60.191138588356516</v>
      </c>
      <c r="J50" s="14">
        <f t="shared" si="2"/>
        <v>1083.4404945904173</v>
      </c>
      <c r="K50">
        <f t="shared" si="3"/>
        <v>84.87</v>
      </c>
      <c r="L50" s="14">
        <f t="shared" si="4"/>
        <v>1168.3104945904174</v>
      </c>
      <c r="M50" s="14">
        <f t="shared" si="11"/>
        <v>4.9459041747468291E-4</v>
      </c>
      <c r="N50" s="14">
        <f t="shared" si="5"/>
        <v>72.55670103092784</v>
      </c>
      <c r="O50" s="14">
        <f t="shared" si="6"/>
        <v>326.50515463917526</v>
      </c>
      <c r="P50">
        <f t="shared" si="7"/>
        <v>25.39</v>
      </c>
      <c r="Q50" s="14">
        <f t="shared" si="8"/>
        <v>351.89515463917525</v>
      </c>
      <c r="R50" s="14">
        <f t="shared" si="9"/>
        <v>-4.8453608247314151E-3</v>
      </c>
    </row>
    <row r="51" spans="1:18" ht="14.25" customHeight="1">
      <c r="A51" s="4">
        <v>6003</v>
      </c>
      <c r="B51" s="3" t="s">
        <v>4</v>
      </c>
      <c r="C51" s="10" t="s">
        <v>5</v>
      </c>
      <c r="D51" s="5">
        <v>298.8</v>
      </c>
      <c r="E51" s="10">
        <v>992.02</v>
      </c>
      <c r="F51" t="s">
        <v>14</v>
      </c>
      <c r="G51">
        <v>0.19</v>
      </c>
      <c r="H51">
        <v>0.76</v>
      </c>
      <c r="I51" s="14">
        <f t="shared" si="10"/>
        <v>52.879530916844345</v>
      </c>
      <c r="J51" s="14">
        <f t="shared" si="2"/>
        <v>951.83155650319827</v>
      </c>
      <c r="K51">
        <f t="shared" si="3"/>
        <v>40.19</v>
      </c>
      <c r="L51" s="14">
        <f t="shared" si="4"/>
        <v>992.02155650319833</v>
      </c>
      <c r="M51" s="14">
        <f t="shared" si="11"/>
        <v>1.5565031983442168E-3</v>
      </c>
      <c r="N51" s="14">
        <f t="shared" si="5"/>
        <v>63.710021321961619</v>
      </c>
      <c r="O51" s="14">
        <f t="shared" si="6"/>
        <v>286.69509594882732</v>
      </c>
      <c r="P51">
        <f t="shared" si="7"/>
        <v>12.1</v>
      </c>
      <c r="Q51" s="14">
        <f t="shared" si="8"/>
        <v>298.79509594882734</v>
      </c>
      <c r="R51" s="14">
        <f t="shared" si="9"/>
        <v>-4.9040511726730074E-3</v>
      </c>
    </row>
    <row r="52" spans="1:18" ht="14.25" customHeight="1">
      <c r="A52" s="4">
        <v>6005</v>
      </c>
      <c r="B52" s="3" t="s">
        <v>6</v>
      </c>
      <c r="C52" s="10" t="s">
        <v>7</v>
      </c>
      <c r="D52" s="5">
        <v>351.9</v>
      </c>
      <c r="E52" s="10">
        <v>1168.31</v>
      </c>
      <c r="F52" t="s">
        <v>14</v>
      </c>
      <c r="G52">
        <v>0.36</v>
      </c>
      <c r="H52">
        <v>1.43</v>
      </c>
      <c r="I52" s="14">
        <f t="shared" si="10"/>
        <v>60.129181677817805</v>
      </c>
      <c r="J52" s="14">
        <f t="shared" si="2"/>
        <v>1082.3252702007205</v>
      </c>
      <c r="K52">
        <f t="shared" si="3"/>
        <v>85.98</v>
      </c>
      <c r="L52" s="14">
        <f t="shared" si="4"/>
        <v>1168.3052702007205</v>
      </c>
      <c r="M52" s="14">
        <f t="shared" si="11"/>
        <v>-4.7297992794028687E-3</v>
      </c>
      <c r="N52" s="14">
        <f t="shared" si="5"/>
        <v>72.407407407407405</v>
      </c>
      <c r="O52" s="14">
        <f t="shared" si="6"/>
        <v>325.83333333333331</v>
      </c>
      <c r="P52">
        <f t="shared" si="7"/>
        <v>26.07</v>
      </c>
      <c r="Q52" s="14">
        <f t="shared" si="8"/>
        <v>351.90333333333331</v>
      </c>
      <c r="R52" s="14">
        <f t="shared" si="9"/>
        <v>3.3333333333303017E-3</v>
      </c>
    </row>
    <row r="53" spans="1:18" ht="14.25" customHeight="1">
      <c r="A53" s="4">
        <v>6009</v>
      </c>
      <c r="B53" s="3" t="s">
        <v>4</v>
      </c>
      <c r="C53" s="10" t="s">
        <v>5</v>
      </c>
      <c r="D53" s="5">
        <v>298.8</v>
      </c>
      <c r="E53" s="10">
        <v>992.02</v>
      </c>
      <c r="F53" t="s">
        <v>14</v>
      </c>
      <c r="G53">
        <v>0.22</v>
      </c>
      <c r="H53">
        <v>0.89</v>
      </c>
      <c r="I53" s="14">
        <f t="shared" si="10"/>
        <v>52.515616728427737</v>
      </c>
      <c r="J53" s="14">
        <f t="shared" si="2"/>
        <v>945.28110111169929</v>
      </c>
      <c r="K53">
        <f t="shared" si="3"/>
        <v>46.74</v>
      </c>
      <c r="L53" s="14">
        <f t="shared" si="4"/>
        <v>992.02110111169929</v>
      </c>
      <c r="M53" s="14">
        <f t="shared" si="11"/>
        <v>1.1011116993131509E-3</v>
      </c>
      <c r="N53" s="14">
        <f t="shared" si="5"/>
        <v>63.30508474576272</v>
      </c>
      <c r="O53" s="14">
        <f t="shared" si="6"/>
        <v>284.87288135593224</v>
      </c>
      <c r="P53">
        <f t="shared" si="7"/>
        <v>13.93</v>
      </c>
      <c r="Q53" s="14">
        <f t="shared" si="8"/>
        <v>298.80288135593224</v>
      </c>
      <c r="R53" s="14">
        <f t="shared" si="9"/>
        <v>2.8813559322315996E-3</v>
      </c>
    </row>
    <row r="54" spans="1:18" ht="14.25" customHeight="1">
      <c r="A54" s="4">
        <v>6010</v>
      </c>
      <c r="B54" s="3" t="s">
        <v>6</v>
      </c>
      <c r="C54" s="10" t="s">
        <v>7</v>
      </c>
      <c r="D54" s="5">
        <v>351.9</v>
      </c>
      <c r="E54" s="10">
        <v>1168.31</v>
      </c>
      <c r="F54" t="s">
        <v>14</v>
      </c>
      <c r="G54">
        <v>0.34</v>
      </c>
      <c r="H54">
        <v>1.35</v>
      </c>
      <c r="I54" s="14">
        <f t="shared" si="10"/>
        <v>60.377777777777773</v>
      </c>
      <c r="J54" s="14">
        <f t="shared" si="2"/>
        <v>1086.8</v>
      </c>
      <c r="K54">
        <f t="shared" si="3"/>
        <v>81.510000000000005</v>
      </c>
      <c r="L54" s="14">
        <f t="shared" si="4"/>
        <v>1168.31</v>
      </c>
      <c r="M54" s="14">
        <f t="shared" si="11"/>
        <v>0</v>
      </c>
      <c r="N54" s="14">
        <f t="shared" si="5"/>
        <v>72.706611570247929</v>
      </c>
      <c r="O54" s="14">
        <f t="shared" si="6"/>
        <v>327.17975206611567</v>
      </c>
      <c r="P54">
        <f t="shared" si="7"/>
        <v>24.72</v>
      </c>
      <c r="Q54" s="14">
        <f t="shared" si="8"/>
        <v>351.89975206611564</v>
      </c>
      <c r="R54" s="14">
        <f t="shared" si="9"/>
        <v>-2.4793388433863583E-4</v>
      </c>
    </row>
    <row r="55" spans="1:18" ht="14.25" customHeight="1">
      <c r="A55" s="4">
        <v>6011</v>
      </c>
      <c r="B55" s="6" t="s">
        <v>4</v>
      </c>
      <c r="C55" s="11" t="s">
        <v>5</v>
      </c>
      <c r="D55" s="7">
        <v>298.8</v>
      </c>
      <c r="E55" s="11">
        <v>992.02</v>
      </c>
      <c r="F55" t="s">
        <v>14</v>
      </c>
      <c r="G55">
        <v>0.25</v>
      </c>
      <c r="H55">
        <v>0.98</v>
      </c>
      <c r="I55" s="14">
        <f t="shared" si="10"/>
        <v>52.266596417281349</v>
      </c>
      <c r="J55" s="14">
        <f t="shared" si="2"/>
        <v>940.79873551106425</v>
      </c>
      <c r="K55">
        <f t="shared" si="3"/>
        <v>51.22</v>
      </c>
      <c r="L55" s="14">
        <f t="shared" si="4"/>
        <v>992.01873551106428</v>
      </c>
      <c r="M55" s="14">
        <f t="shared" si="11"/>
        <v>-1.2644889357034117E-3</v>
      </c>
      <c r="N55" s="14">
        <f t="shared" si="5"/>
        <v>62.905263157894737</v>
      </c>
      <c r="O55" s="14">
        <f t="shared" si="6"/>
        <v>283.07368421052632</v>
      </c>
      <c r="P55">
        <f t="shared" si="7"/>
        <v>15.73</v>
      </c>
      <c r="Q55" s="14">
        <f t="shared" si="8"/>
        <v>298.80368421052634</v>
      </c>
      <c r="R55" s="14">
        <f t="shared" si="9"/>
        <v>3.6842105263303893E-3</v>
      </c>
    </row>
    <row r="56" spans="1:18" ht="14.25" customHeight="1">
      <c r="A56" s="4">
        <v>6016</v>
      </c>
      <c r="B56" s="3" t="s">
        <v>6</v>
      </c>
      <c r="C56" s="10" t="s">
        <v>7</v>
      </c>
      <c r="D56" s="5">
        <v>351.9</v>
      </c>
      <c r="E56" s="10">
        <v>1168.31</v>
      </c>
      <c r="F56" t="s">
        <v>14</v>
      </c>
      <c r="G56">
        <v>0.44</v>
      </c>
      <c r="H56">
        <v>1.77</v>
      </c>
      <c r="I56" s="14">
        <f t="shared" si="10"/>
        <v>59.095093576125443</v>
      </c>
      <c r="J56" s="14">
        <f t="shared" si="2"/>
        <v>1063.7116843702579</v>
      </c>
      <c r="K56">
        <f t="shared" si="3"/>
        <v>104.6</v>
      </c>
      <c r="L56" s="14">
        <f t="shared" si="4"/>
        <v>1168.3116843702578</v>
      </c>
      <c r="M56" s="14">
        <f t="shared" si="11"/>
        <v>1.6843702578626107E-3</v>
      </c>
      <c r="N56" s="14">
        <f t="shared" si="5"/>
        <v>71.234817813765176</v>
      </c>
      <c r="O56" s="14">
        <f t="shared" si="6"/>
        <v>320.55668016194329</v>
      </c>
      <c r="P56">
        <f t="shared" si="7"/>
        <v>31.34</v>
      </c>
      <c r="Q56" s="14">
        <f t="shared" si="8"/>
        <v>351.89668016194327</v>
      </c>
      <c r="R56" s="14">
        <f t="shared" si="9"/>
        <v>-3.3198380567114327E-3</v>
      </c>
    </row>
    <row r="57" spans="1:18" ht="14.25" customHeight="1">
      <c r="A57" s="4">
        <v>6017</v>
      </c>
      <c r="B57" s="3" t="s">
        <v>6</v>
      </c>
      <c r="C57" s="10" t="s">
        <v>7</v>
      </c>
      <c r="D57" s="5">
        <v>351.9</v>
      </c>
      <c r="E57" s="10">
        <v>1168.31</v>
      </c>
      <c r="F57" t="s">
        <v>14</v>
      </c>
      <c r="G57">
        <v>0.33</v>
      </c>
      <c r="H57">
        <v>1.33</v>
      </c>
      <c r="I57" s="14">
        <f t="shared" si="10"/>
        <v>60.440248318675636</v>
      </c>
      <c r="J57" s="14">
        <f t="shared" si="2"/>
        <v>1087.9244697361614</v>
      </c>
      <c r="K57">
        <f t="shared" si="3"/>
        <v>80.39</v>
      </c>
      <c r="L57" s="14">
        <f t="shared" si="4"/>
        <v>1168.3144697361615</v>
      </c>
      <c r="M57" s="14">
        <f t="shared" si="11"/>
        <v>4.4697361615817499E-3</v>
      </c>
      <c r="N57" s="14">
        <f t="shared" si="5"/>
        <v>72.857142857142847</v>
      </c>
      <c r="O57" s="14">
        <f t="shared" si="6"/>
        <v>327.85714285714283</v>
      </c>
      <c r="P57">
        <f t="shared" si="7"/>
        <v>24.04</v>
      </c>
      <c r="Q57" s="14">
        <f t="shared" si="8"/>
        <v>351.89714285714285</v>
      </c>
      <c r="R57" s="14">
        <f t="shared" si="9"/>
        <v>-2.8571428571240176E-3</v>
      </c>
    </row>
    <row r="58" spans="1:18" ht="14.25" customHeight="1">
      <c r="A58" s="4">
        <v>6018</v>
      </c>
      <c r="B58" s="3" t="s">
        <v>6</v>
      </c>
      <c r="C58" s="10" t="s">
        <v>7</v>
      </c>
      <c r="D58" s="5">
        <v>351.9</v>
      </c>
      <c r="E58" s="10">
        <v>1168.31</v>
      </c>
      <c r="F58" t="s">
        <v>14</v>
      </c>
      <c r="G58">
        <v>0.44</v>
      </c>
      <c r="H58">
        <v>1.77</v>
      </c>
      <c r="I58" s="14">
        <f t="shared" si="10"/>
        <v>59.095093576125443</v>
      </c>
      <c r="J58" s="14">
        <f t="shared" si="2"/>
        <v>1063.7116843702579</v>
      </c>
      <c r="K58">
        <f t="shared" si="3"/>
        <v>104.6</v>
      </c>
      <c r="L58" s="14">
        <f t="shared" si="4"/>
        <v>1168.3116843702578</v>
      </c>
      <c r="M58" s="14">
        <f t="shared" si="11"/>
        <v>1.6843702578626107E-3</v>
      </c>
      <c r="N58" s="14">
        <f t="shared" si="5"/>
        <v>71.234817813765176</v>
      </c>
      <c r="O58" s="14">
        <f t="shared" si="6"/>
        <v>320.55668016194329</v>
      </c>
      <c r="P58">
        <f t="shared" si="7"/>
        <v>31.34</v>
      </c>
      <c r="Q58" s="14">
        <f t="shared" si="8"/>
        <v>351.89668016194327</v>
      </c>
      <c r="R58" s="14">
        <f t="shared" si="9"/>
        <v>-3.3198380567114327E-3</v>
      </c>
    </row>
    <row r="59" spans="1:18" ht="14.25" customHeight="1">
      <c r="A59" s="4">
        <v>6019</v>
      </c>
      <c r="B59" s="3" t="s">
        <v>6</v>
      </c>
      <c r="C59" s="10" t="s">
        <v>7</v>
      </c>
      <c r="D59" s="5">
        <v>351.9</v>
      </c>
      <c r="E59" s="10">
        <v>1168.31</v>
      </c>
      <c r="F59" t="s">
        <v>12</v>
      </c>
      <c r="G59">
        <v>0.09</v>
      </c>
      <c r="H59">
        <v>0.36</v>
      </c>
      <c r="I59" s="14">
        <f t="shared" si="10"/>
        <v>63.633442265795203</v>
      </c>
      <c r="J59" s="14">
        <f t="shared" si="2"/>
        <v>1145.4019607843136</v>
      </c>
      <c r="K59">
        <f t="shared" si="3"/>
        <v>22.91</v>
      </c>
      <c r="L59" s="14">
        <f t="shared" si="4"/>
        <v>1168.3119607843137</v>
      </c>
      <c r="M59" s="14">
        <f t="shared" si="11"/>
        <v>1.9607843137237069E-3</v>
      </c>
      <c r="N59" s="14">
        <f t="shared" si="5"/>
        <v>76.666666666666657</v>
      </c>
      <c r="O59" s="14">
        <f t="shared" si="6"/>
        <v>344.99999999999994</v>
      </c>
      <c r="P59">
        <f t="shared" si="7"/>
        <v>6.9</v>
      </c>
      <c r="Q59" s="14">
        <f t="shared" si="8"/>
        <v>351.89999999999992</v>
      </c>
      <c r="R59" s="14">
        <f t="shared" si="9"/>
        <v>0</v>
      </c>
    </row>
    <row r="60" spans="1:18" ht="14.25" customHeight="1">
      <c r="A60" s="4">
        <v>6020</v>
      </c>
      <c r="B60" s="3" t="s">
        <v>4</v>
      </c>
      <c r="C60" s="10" t="s">
        <v>5</v>
      </c>
      <c r="D60" s="5">
        <v>298.8</v>
      </c>
      <c r="E60" s="10">
        <v>992.02</v>
      </c>
      <c r="F60" t="s">
        <v>14</v>
      </c>
      <c r="G60">
        <v>0.21</v>
      </c>
      <c r="H60">
        <v>0.82</v>
      </c>
      <c r="I60" s="14">
        <f t="shared" si="10"/>
        <v>52.710945802337939</v>
      </c>
      <c r="J60" s="14">
        <f t="shared" si="2"/>
        <v>948.79702444208294</v>
      </c>
      <c r="K60">
        <f t="shared" si="3"/>
        <v>43.22</v>
      </c>
      <c r="L60" s="14">
        <f t="shared" si="4"/>
        <v>992.01702444208297</v>
      </c>
      <c r="M60" s="14">
        <f t="shared" si="11"/>
        <v>-2.9755579170114288E-3</v>
      </c>
      <c r="N60" s="14">
        <f t="shared" si="5"/>
        <v>63.439490445859875</v>
      </c>
      <c r="O60" s="14">
        <f t="shared" si="6"/>
        <v>285.47770700636943</v>
      </c>
      <c r="P60">
        <f t="shared" si="7"/>
        <v>13.32</v>
      </c>
      <c r="Q60" s="14">
        <f t="shared" si="8"/>
        <v>298.79770700636942</v>
      </c>
      <c r="R60" s="14">
        <f t="shared" si="9"/>
        <v>-2.2929936305899901E-3</v>
      </c>
    </row>
    <row r="61" spans="1:18" ht="14.25" customHeight="1">
      <c r="A61" s="4">
        <v>6021</v>
      </c>
      <c r="B61" s="3" t="s">
        <v>6</v>
      </c>
      <c r="C61" s="10" t="s">
        <v>7</v>
      </c>
      <c r="D61" s="5">
        <v>351.9</v>
      </c>
      <c r="E61" s="10">
        <v>1168.31</v>
      </c>
      <c r="F61" t="s">
        <v>10</v>
      </c>
      <c r="G61">
        <v>0.13</v>
      </c>
      <c r="H61">
        <v>0.51</v>
      </c>
      <c r="I61" s="14">
        <f t="shared" si="10"/>
        <v>63.11777417612101</v>
      </c>
      <c r="J61" s="14">
        <f t="shared" si="2"/>
        <v>1136.1199351701782</v>
      </c>
      <c r="K61">
        <f t="shared" si="3"/>
        <v>32.19</v>
      </c>
      <c r="L61" s="14">
        <f t="shared" si="4"/>
        <v>1168.3099351701783</v>
      </c>
      <c r="M61" s="14">
        <f t="shared" si="11"/>
        <v>-6.4829821667444776E-5</v>
      </c>
      <c r="N61" s="14">
        <f t="shared" si="5"/>
        <v>76.004319654427647</v>
      </c>
      <c r="O61" s="14">
        <f t="shared" si="6"/>
        <v>342.01943844492439</v>
      </c>
      <c r="P61">
        <f t="shared" si="7"/>
        <v>9.8800000000000008</v>
      </c>
      <c r="Q61" s="14">
        <f t="shared" si="8"/>
        <v>351.89943844492439</v>
      </c>
      <c r="R61" s="14">
        <f t="shared" si="9"/>
        <v>-5.6155507559196849E-4</v>
      </c>
    </row>
    <row r="62" spans="1:18" ht="14.25" customHeight="1">
      <c r="A62" s="4">
        <v>6024</v>
      </c>
      <c r="B62" s="3" t="s">
        <v>6</v>
      </c>
      <c r="C62" s="10" t="s">
        <v>7</v>
      </c>
      <c r="D62" s="5">
        <v>351.9</v>
      </c>
      <c r="E62" s="10">
        <v>1168.31</v>
      </c>
      <c r="F62" t="s">
        <v>14</v>
      </c>
      <c r="G62">
        <v>0.44</v>
      </c>
      <c r="H62">
        <v>1.77</v>
      </c>
      <c r="I62" s="14">
        <f t="shared" si="10"/>
        <v>59.095093576125443</v>
      </c>
      <c r="J62" s="14">
        <f t="shared" si="2"/>
        <v>1063.7116843702579</v>
      </c>
      <c r="K62">
        <f t="shared" si="3"/>
        <v>104.6</v>
      </c>
      <c r="L62" s="14">
        <f t="shared" si="4"/>
        <v>1168.3116843702578</v>
      </c>
      <c r="M62" s="14">
        <f t="shared" si="11"/>
        <v>1.6843702578626107E-3</v>
      </c>
      <c r="N62" s="14">
        <f t="shared" si="5"/>
        <v>71.234817813765176</v>
      </c>
      <c r="O62" s="14">
        <f t="shared" si="6"/>
        <v>320.55668016194329</v>
      </c>
      <c r="P62">
        <f t="shared" si="7"/>
        <v>31.34</v>
      </c>
      <c r="Q62" s="14">
        <f t="shared" si="8"/>
        <v>351.89668016194327</v>
      </c>
      <c r="R62" s="14">
        <f t="shared" si="9"/>
        <v>-3.3198380567114327E-3</v>
      </c>
    </row>
    <row r="63" spans="1:18" ht="14.25" customHeight="1">
      <c r="A63" s="4">
        <v>6025</v>
      </c>
      <c r="B63" s="3" t="s">
        <v>4</v>
      </c>
      <c r="C63" s="10" t="s">
        <v>5</v>
      </c>
      <c r="D63" s="5">
        <v>298.8</v>
      </c>
      <c r="E63" s="10">
        <v>992.02</v>
      </c>
      <c r="F63" t="s">
        <v>14</v>
      </c>
      <c r="G63">
        <v>0.28000000000000003</v>
      </c>
      <c r="H63">
        <v>1.1000000000000001</v>
      </c>
      <c r="I63" s="14">
        <f t="shared" si="10"/>
        <v>51.938219895287951</v>
      </c>
      <c r="J63" s="14">
        <f t="shared" si="2"/>
        <v>934.8879581151831</v>
      </c>
      <c r="K63">
        <f t="shared" si="3"/>
        <v>57.13</v>
      </c>
      <c r="L63" s="14">
        <f t="shared" si="4"/>
        <v>992.01795811518309</v>
      </c>
      <c r="M63" s="14">
        <f t="shared" si="11"/>
        <v>-2.0418848168901604E-3</v>
      </c>
      <c r="N63" s="14">
        <f t="shared" si="5"/>
        <v>62.510460251046027</v>
      </c>
      <c r="O63" s="14">
        <f t="shared" si="6"/>
        <v>281.29707112970709</v>
      </c>
      <c r="P63">
        <f t="shared" si="7"/>
        <v>17.5</v>
      </c>
      <c r="Q63" s="14">
        <f t="shared" si="8"/>
        <v>298.79707112970709</v>
      </c>
      <c r="R63" s="14">
        <f t="shared" si="9"/>
        <v>-2.9288702929193278E-3</v>
      </c>
    </row>
    <row r="64" spans="1:18" ht="14.25" customHeight="1">
      <c r="A64" s="4">
        <v>6026</v>
      </c>
      <c r="B64" s="3" t="s">
        <v>6</v>
      </c>
      <c r="C64" s="10" t="s">
        <v>7</v>
      </c>
      <c r="D64" s="5">
        <v>351.9</v>
      </c>
      <c r="E64" s="10">
        <v>1168.31</v>
      </c>
      <c r="F64" t="s">
        <v>14</v>
      </c>
      <c r="G64">
        <v>0.43</v>
      </c>
      <c r="H64">
        <v>1.71</v>
      </c>
      <c r="I64" s="14">
        <f t="shared" si="10"/>
        <v>59.274987316083198</v>
      </c>
      <c r="J64" s="14">
        <f t="shared" si="2"/>
        <v>1066.9497716894975</v>
      </c>
      <c r="K64">
        <f t="shared" si="3"/>
        <v>101.36</v>
      </c>
      <c r="L64" s="14">
        <f t="shared" si="4"/>
        <v>1168.3097716894974</v>
      </c>
      <c r="M64" s="14">
        <f t="shared" si="11"/>
        <v>-2.2831050250715634E-4</v>
      </c>
      <c r="N64" s="14">
        <f t="shared" si="5"/>
        <v>71.379310344827587</v>
      </c>
      <c r="O64" s="14">
        <f t="shared" si="6"/>
        <v>321.20689655172413</v>
      </c>
      <c r="P64">
        <f t="shared" si="7"/>
        <v>30.69</v>
      </c>
      <c r="Q64" s="14">
        <f t="shared" si="8"/>
        <v>351.89689655172413</v>
      </c>
      <c r="R64" s="14">
        <f t="shared" si="9"/>
        <v>-3.1034482758514059E-3</v>
      </c>
    </row>
    <row r="65" spans="1:18" ht="14.25" customHeight="1">
      <c r="A65" s="4">
        <v>6028</v>
      </c>
      <c r="B65" s="3" t="s">
        <v>4</v>
      </c>
      <c r="C65" s="10" t="s">
        <v>5</v>
      </c>
      <c r="D65" s="5">
        <v>298.8</v>
      </c>
      <c r="E65" s="10">
        <v>992.02</v>
      </c>
      <c r="F65" t="s">
        <v>14</v>
      </c>
      <c r="G65">
        <v>0.2</v>
      </c>
      <c r="H65">
        <v>0.79</v>
      </c>
      <c r="I65" s="14">
        <f t="shared" si="10"/>
        <v>52.795103778605643</v>
      </c>
      <c r="J65" s="14">
        <f t="shared" si="2"/>
        <v>950.31186801490162</v>
      </c>
      <c r="K65">
        <f t="shared" si="3"/>
        <v>41.71</v>
      </c>
      <c r="L65" s="14">
        <f t="shared" si="4"/>
        <v>992.02186801490166</v>
      </c>
      <c r="M65" s="14">
        <f t="shared" si="11"/>
        <v>1.8680149016745418E-3</v>
      </c>
      <c r="N65" s="14">
        <f t="shared" si="5"/>
        <v>63.574468085106382</v>
      </c>
      <c r="O65" s="14">
        <f t="shared" si="6"/>
        <v>286.08510638297872</v>
      </c>
      <c r="P65">
        <f t="shared" si="7"/>
        <v>12.71</v>
      </c>
      <c r="Q65" s="14">
        <f t="shared" si="8"/>
        <v>298.7951063829787</v>
      </c>
      <c r="R65" s="14">
        <f t="shared" si="9"/>
        <v>-4.8936170213096375E-3</v>
      </c>
    </row>
    <row r="66" spans="1:18" ht="14.25" customHeight="1">
      <c r="A66" s="4">
        <v>6029</v>
      </c>
      <c r="B66" s="3" t="s">
        <v>6</v>
      </c>
      <c r="C66" s="10" t="s">
        <v>7</v>
      </c>
      <c r="D66" s="5">
        <v>351.9</v>
      </c>
      <c r="E66" s="10">
        <v>1168.31</v>
      </c>
      <c r="F66" t="s">
        <v>14</v>
      </c>
      <c r="G66">
        <v>0.44</v>
      </c>
      <c r="H66">
        <v>1.77</v>
      </c>
      <c r="I66" s="14">
        <f t="shared" si="10"/>
        <v>59.095093576125443</v>
      </c>
      <c r="J66" s="14">
        <f t="shared" si="2"/>
        <v>1063.7116843702579</v>
      </c>
      <c r="K66">
        <f t="shared" si="3"/>
        <v>104.6</v>
      </c>
      <c r="L66" s="14">
        <f t="shared" si="4"/>
        <v>1168.3116843702578</v>
      </c>
      <c r="M66" s="14">
        <f t="shared" si="11"/>
        <v>1.6843702578626107E-3</v>
      </c>
      <c r="N66" s="14">
        <f t="shared" si="5"/>
        <v>71.234817813765176</v>
      </c>
      <c r="O66" s="14">
        <f t="shared" si="6"/>
        <v>320.55668016194329</v>
      </c>
      <c r="P66">
        <f t="shared" si="7"/>
        <v>31.34</v>
      </c>
      <c r="Q66" s="14">
        <f t="shared" si="8"/>
        <v>351.89668016194327</v>
      </c>
      <c r="R66" s="14">
        <f t="shared" si="9"/>
        <v>-3.3198380567114327E-3</v>
      </c>
    </row>
    <row r="67" spans="1:18" ht="14.25" customHeight="1">
      <c r="A67" s="4">
        <v>6031</v>
      </c>
      <c r="B67" s="3" t="s">
        <v>4</v>
      </c>
      <c r="C67" s="10" t="s">
        <v>5</v>
      </c>
      <c r="D67" s="5">
        <v>298.8</v>
      </c>
      <c r="E67" s="10">
        <v>992.02</v>
      </c>
      <c r="F67" t="s">
        <v>14</v>
      </c>
      <c r="G67">
        <v>0.31</v>
      </c>
      <c r="H67">
        <v>1.23</v>
      </c>
      <c r="I67" s="14">
        <f t="shared" si="10"/>
        <v>51.587103484139362</v>
      </c>
      <c r="J67" s="14">
        <f t="shared" si="2"/>
        <v>928.56786271450846</v>
      </c>
      <c r="K67">
        <f t="shared" si="3"/>
        <v>63.45</v>
      </c>
      <c r="L67" s="14">
        <f t="shared" si="4"/>
        <v>992.01786271450851</v>
      </c>
      <c r="M67" s="14">
        <f t="shared" si="11"/>
        <v>-2.1372854914716299E-3</v>
      </c>
      <c r="N67" s="14">
        <f t="shared" si="5"/>
        <v>62.120582120582128</v>
      </c>
      <c r="O67" s="14">
        <f t="shared" si="6"/>
        <v>279.5426195426196</v>
      </c>
      <c r="P67">
        <f t="shared" si="7"/>
        <v>19.260000000000002</v>
      </c>
      <c r="Q67" s="14">
        <f t="shared" si="8"/>
        <v>298.8026195426196</v>
      </c>
      <c r="R67" s="14">
        <f t="shared" si="9"/>
        <v>2.619542619584081E-3</v>
      </c>
    </row>
    <row r="68" spans="1:18" ht="14.25" customHeight="1">
      <c r="A68" s="4">
        <v>6032</v>
      </c>
      <c r="B68" s="3" t="s">
        <v>6</v>
      </c>
      <c r="C68" s="10" t="s">
        <v>7</v>
      </c>
      <c r="D68" s="5">
        <v>351.9</v>
      </c>
      <c r="E68" s="10">
        <v>1168.31</v>
      </c>
      <c r="F68" t="s">
        <v>14</v>
      </c>
      <c r="G68">
        <v>0.4</v>
      </c>
      <c r="H68">
        <v>1.6</v>
      </c>
      <c r="I68" s="14">
        <f t="shared" ref="I68:I99" si="12">+E68/(18+H68)</f>
        <v>59.607653061224482</v>
      </c>
      <c r="J68" s="14">
        <f t="shared" si="2"/>
        <v>1072.9377551020407</v>
      </c>
      <c r="K68">
        <f t="shared" si="3"/>
        <v>95.37</v>
      </c>
      <c r="L68" s="14">
        <f t="shared" si="4"/>
        <v>1168.3077551020406</v>
      </c>
      <c r="M68" s="14">
        <f t="shared" ref="M68:M99" si="13">+L68-E68</f>
        <v>-2.2448979593718832E-3</v>
      </c>
      <c r="N68" s="14">
        <f t="shared" si="5"/>
        <v>71.81632653061223</v>
      </c>
      <c r="O68" s="14">
        <f t="shared" si="6"/>
        <v>323.17346938775506</v>
      </c>
      <c r="P68">
        <f t="shared" si="7"/>
        <v>28.73</v>
      </c>
      <c r="Q68" s="14">
        <f t="shared" si="8"/>
        <v>351.90346938775508</v>
      </c>
      <c r="R68" s="14">
        <f t="shared" si="9"/>
        <v>3.4693877551035257E-3</v>
      </c>
    </row>
    <row r="69" spans="1:18" ht="14.25" customHeight="1">
      <c r="A69" s="4">
        <v>6033</v>
      </c>
      <c r="B69" s="3" t="s">
        <v>6</v>
      </c>
      <c r="C69" s="10" t="s">
        <v>7</v>
      </c>
      <c r="D69" s="5">
        <v>351.9</v>
      </c>
      <c r="E69" s="10">
        <v>1168.31</v>
      </c>
      <c r="F69" t="s">
        <v>10</v>
      </c>
      <c r="G69">
        <v>0.2</v>
      </c>
      <c r="H69">
        <v>0.79</v>
      </c>
      <c r="I69" s="14">
        <f t="shared" si="12"/>
        <v>62.177221926556676</v>
      </c>
      <c r="J69" s="14">
        <f t="shared" ref="J69:J123" si="14">18*I69</f>
        <v>1119.1899946780202</v>
      </c>
      <c r="K69">
        <f t="shared" ref="K69:K123" si="15">+ROUND(I69*H69,2)</f>
        <v>49.12</v>
      </c>
      <c r="L69" s="14">
        <f t="shared" ref="L69:L123" si="16">+J69+K69</f>
        <v>1168.3099946780201</v>
      </c>
      <c r="M69" s="14">
        <f t="shared" si="13"/>
        <v>-5.3219798701320542E-6</v>
      </c>
      <c r="N69" s="14">
        <f t="shared" ref="N69:N123" si="17">+D69/(4.5+G69)</f>
        <v>74.872340425531902</v>
      </c>
      <c r="O69" s="14">
        <f t="shared" ref="O69:O123" si="18">4.5*N69</f>
        <v>336.92553191489355</v>
      </c>
      <c r="P69">
        <f t="shared" ref="P69:P123" si="19">+ROUND(G69*N69,2)</f>
        <v>14.97</v>
      </c>
      <c r="Q69" s="14">
        <f t="shared" ref="Q69:Q123" si="20">+O69+P69</f>
        <v>351.89553191489358</v>
      </c>
      <c r="R69" s="14">
        <f t="shared" ref="R69:R123" si="21">+Q69-D69</f>
        <v>-4.4680851063958471E-3</v>
      </c>
    </row>
    <row r="70" spans="1:18" ht="14.25" customHeight="1">
      <c r="A70" s="4">
        <v>6034</v>
      </c>
      <c r="B70" s="3" t="s">
        <v>4</v>
      </c>
      <c r="C70" s="10" t="s">
        <v>5</v>
      </c>
      <c r="D70" s="5">
        <v>298.8</v>
      </c>
      <c r="E70" s="10">
        <v>992.02</v>
      </c>
      <c r="F70" t="s">
        <v>10</v>
      </c>
      <c r="G70">
        <v>0.04</v>
      </c>
      <c r="H70">
        <v>0.16</v>
      </c>
      <c r="I70" s="14">
        <f t="shared" si="12"/>
        <v>54.626651982378853</v>
      </c>
      <c r="J70" s="14">
        <f t="shared" si="14"/>
        <v>983.27973568281936</v>
      </c>
      <c r="K70">
        <f t="shared" si="15"/>
        <v>8.74</v>
      </c>
      <c r="L70" s="14">
        <f t="shared" si="16"/>
        <v>992.01973568281937</v>
      </c>
      <c r="M70" s="14">
        <f t="shared" si="13"/>
        <v>-2.6431718060848652E-4</v>
      </c>
      <c r="N70" s="14">
        <f t="shared" si="17"/>
        <v>65.81497797356829</v>
      </c>
      <c r="O70" s="14">
        <f t="shared" si="18"/>
        <v>296.16740088105729</v>
      </c>
      <c r="P70">
        <f t="shared" si="19"/>
        <v>2.63</v>
      </c>
      <c r="Q70" s="14">
        <f t="shared" si="20"/>
        <v>298.79740088105729</v>
      </c>
      <c r="R70" s="14">
        <f t="shared" si="21"/>
        <v>-2.5991189427259087E-3</v>
      </c>
    </row>
    <row r="71" spans="1:18" ht="14.25" customHeight="1">
      <c r="A71" s="4">
        <v>6037</v>
      </c>
      <c r="B71" s="3" t="s">
        <v>8</v>
      </c>
      <c r="C71" s="10" t="s">
        <v>9</v>
      </c>
      <c r="D71" s="5">
        <v>423.45</v>
      </c>
      <c r="E71" s="10">
        <v>1405.85</v>
      </c>
      <c r="F71" t="s">
        <v>14</v>
      </c>
      <c r="G71">
        <v>0.42</v>
      </c>
      <c r="H71">
        <v>1.68</v>
      </c>
      <c r="I71" s="14">
        <f t="shared" si="12"/>
        <v>71.435467479674799</v>
      </c>
      <c r="J71" s="14">
        <f t="shared" si="14"/>
        <v>1285.8384146341464</v>
      </c>
      <c r="K71">
        <f t="shared" si="15"/>
        <v>120.01</v>
      </c>
      <c r="L71" s="14">
        <f t="shared" si="16"/>
        <v>1405.8484146341464</v>
      </c>
      <c r="M71" s="14">
        <f t="shared" si="13"/>
        <v>-1.5853658535434079E-3</v>
      </c>
      <c r="N71" s="14">
        <f t="shared" si="17"/>
        <v>86.067073170731703</v>
      </c>
      <c r="O71" s="14">
        <f t="shared" si="18"/>
        <v>387.30182926829264</v>
      </c>
      <c r="P71">
        <f t="shared" si="19"/>
        <v>36.15</v>
      </c>
      <c r="Q71" s="14">
        <f t="shared" si="20"/>
        <v>423.45182926829261</v>
      </c>
      <c r="R71" s="14">
        <f t="shared" si="21"/>
        <v>1.8292682926244197E-3</v>
      </c>
    </row>
    <row r="72" spans="1:18" ht="14.25" customHeight="1">
      <c r="A72" s="4">
        <v>7000</v>
      </c>
      <c r="B72" s="3" t="s">
        <v>4</v>
      </c>
      <c r="C72" s="10" t="s">
        <v>5</v>
      </c>
      <c r="D72" s="5">
        <v>298.8</v>
      </c>
      <c r="E72" s="10">
        <v>992.02</v>
      </c>
      <c r="F72" t="s">
        <v>10</v>
      </c>
      <c r="G72">
        <v>0.04</v>
      </c>
      <c r="H72">
        <v>0.17</v>
      </c>
      <c r="I72" s="14">
        <f t="shared" si="12"/>
        <v>54.596587782058329</v>
      </c>
      <c r="J72" s="14">
        <f t="shared" si="14"/>
        <v>982.73858007704996</v>
      </c>
      <c r="K72">
        <f t="shared" si="15"/>
        <v>9.2799999999999994</v>
      </c>
      <c r="L72" s="14">
        <f t="shared" si="16"/>
        <v>992.01858007704993</v>
      </c>
      <c r="M72" s="14">
        <f t="shared" si="13"/>
        <v>-1.4199229500491128E-3</v>
      </c>
      <c r="N72" s="14">
        <f t="shared" si="17"/>
        <v>65.81497797356829</v>
      </c>
      <c r="O72" s="14">
        <f t="shared" si="18"/>
        <v>296.16740088105729</v>
      </c>
      <c r="P72">
        <f t="shared" si="19"/>
        <v>2.63</v>
      </c>
      <c r="Q72" s="14">
        <f t="shared" si="20"/>
        <v>298.79740088105729</v>
      </c>
      <c r="R72" s="14">
        <f t="shared" si="21"/>
        <v>-2.5991189427259087E-3</v>
      </c>
    </row>
    <row r="73" spans="1:18" ht="14.25" customHeight="1">
      <c r="A73" s="4">
        <v>7001</v>
      </c>
      <c r="B73" s="3" t="s">
        <v>4</v>
      </c>
      <c r="C73" s="10" t="s">
        <v>5</v>
      </c>
      <c r="D73" s="5">
        <v>298.8</v>
      </c>
      <c r="E73" s="10">
        <v>992.02</v>
      </c>
      <c r="F73" t="s">
        <v>10</v>
      </c>
      <c r="G73">
        <v>0.03</v>
      </c>
      <c r="H73">
        <v>0.12</v>
      </c>
      <c r="I73" s="14">
        <f t="shared" si="12"/>
        <v>54.747240618101543</v>
      </c>
      <c r="J73" s="14">
        <f t="shared" si="14"/>
        <v>985.4503311258278</v>
      </c>
      <c r="K73">
        <f t="shared" si="15"/>
        <v>6.57</v>
      </c>
      <c r="L73" s="14">
        <f t="shared" si="16"/>
        <v>992.02033112582785</v>
      </c>
      <c r="M73" s="14">
        <f t="shared" si="13"/>
        <v>3.3112582786998246E-4</v>
      </c>
      <c r="N73" s="14">
        <f t="shared" si="17"/>
        <v>65.960264900662253</v>
      </c>
      <c r="O73" s="14">
        <f t="shared" si="18"/>
        <v>296.82119205298011</v>
      </c>
      <c r="P73">
        <f t="shared" si="19"/>
        <v>1.98</v>
      </c>
      <c r="Q73" s="14">
        <f t="shared" si="20"/>
        <v>298.80119205298013</v>
      </c>
      <c r="R73" s="14">
        <f t="shared" si="21"/>
        <v>1.1920529801159319E-3</v>
      </c>
    </row>
    <row r="74" spans="1:18" ht="14.25" customHeight="1">
      <c r="A74" s="4">
        <v>7004</v>
      </c>
      <c r="B74" s="3" t="s">
        <v>4</v>
      </c>
      <c r="C74" s="10" t="s">
        <v>5</v>
      </c>
      <c r="D74" s="5">
        <v>298.8</v>
      </c>
      <c r="E74" s="10">
        <v>992.02</v>
      </c>
      <c r="F74" t="s">
        <v>10</v>
      </c>
      <c r="G74">
        <v>0.02</v>
      </c>
      <c r="H74">
        <v>0.09</v>
      </c>
      <c r="I74" s="14">
        <f t="shared" si="12"/>
        <v>54.838032061912656</v>
      </c>
      <c r="J74" s="14">
        <f t="shared" si="14"/>
        <v>987.08457711442782</v>
      </c>
      <c r="K74">
        <f t="shared" si="15"/>
        <v>4.9400000000000004</v>
      </c>
      <c r="L74" s="14">
        <f t="shared" si="16"/>
        <v>992.02457711442787</v>
      </c>
      <c r="M74" s="14">
        <f t="shared" si="13"/>
        <v>4.5771144278887732E-3</v>
      </c>
      <c r="N74" s="14">
        <f t="shared" si="17"/>
        <v>66.106194690265497</v>
      </c>
      <c r="O74" s="14">
        <f t="shared" si="18"/>
        <v>297.47787610619474</v>
      </c>
      <c r="P74">
        <f t="shared" si="19"/>
        <v>1.32</v>
      </c>
      <c r="Q74" s="14">
        <f t="shared" si="20"/>
        <v>298.79787610619474</v>
      </c>
      <c r="R74" s="14">
        <f t="shared" si="21"/>
        <v>-2.1238938052761114E-3</v>
      </c>
    </row>
    <row r="75" spans="1:18" ht="14.25" customHeight="1">
      <c r="A75" s="4">
        <v>7005</v>
      </c>
      <c r="B75" s="3" t="s">
        <v>4</v>
      </c>
      <c r="C75" s="10" t="s">
        <v>5</v>
      </c>
      <c r="D75" s="5">
        <v>298.8</v>
      </c>
      <c r="E75" s="10">
        <v>992.02</v>
      </c>
      <c r="F75" t="s">
        <v>14</v>
      </c>
      <c r="G75">
        <v>0.17</v>
      </c>
      <c r="H75">
        <v>0.7</v>
      </c>
      <c r="I75" s="14">
        <f t="shared" si="12"/>
        <v>53.049197860962565</v>
      </c>
      <c r="J75" s="14">
        <f t="shared" si="14"/>
        <v>954.88556149732619</v>
      </c>
      <c r="K75">
        <f t="shared" si="15"/>
        <v>37.130000000000003</v>
      </c>
      <c r="L75" s="14">
        <f t="shared" si="16"/>
        <v>992.01556149732619</v>
      </c>
      <c r="M75" s="14">
        <f t="shared" si="13"/>
        <v>-4.4385026737927546E-3</v>
      </c>
      <c r="N75" s="14">
        <f t="shared" si="17"/>
        <v>63.982869379014993</v>
      </c>
      <c r="O75" s="14">
        <f t="shared" si="18"/>
        <v>287.92291220556746</v>
      </c>
      <c r="P75">
        <f t="shared" si="19"/>
        <v>10.88</v>
      </c>
      <c r="Q75" s="14">
        <f t="shared" si="20"/>
        <v>298.80291220556745</v>
      </c>
      <c r="R75" s="14">
        <f t="shared" si="21"/>
        <v>2.9122055674406511E-3</v>
      </c>
    </row>
    <row r="76" spans="1:18" ht="14.25" customHeight="1">
      <c r="A76" s="4">
        <v>7009</v>
      </c>
      <c r="B76" s="3" t="s">
        <v>4</v>
      </c>
      <c r="C76" s="10" t="s">
        <v>5</v>
      </c>
      <c r="D76" s="5">
        <v>298.8</v>
      </c>
      <c r="E76" s="10">
        <v>992.02</v>
      </c>
      <c r="F76" t="s">
        <v>14</v>
      </c>
      <c r="G76">
        <v>0.18</v>
      </c>
      <c r="H76">
        <v>0.73</v>
      </c>
      <c r="I76" s="14">
        <f t="shared" si="12"/>
        <v>52.964228510411104</v>
      </c>
      <c r="J76" s="14">
        <f t="shared" si="14"/>
        <v>953.35611318739984</v>
      </c>
      <c r="K76">
        <f t="shared" si="15"/>
        <v>38.659999999999997</v>
      </c>
      <c r="L76" s="14">
        <f t="shared" si="16"/>
        <v>992.01611318739981</v>
      </c>
      <c r="M76" s="14">
        <f t="shared" si="13"/>
        <v>-3.8868126001716519E-3</v>
      </c>
      <c r="N76" s="14">
        <f t="shared" si="17"/>
        <v>63.846153846153854</v>
      </c>
      <c r="O76" s="14">
        <f t="shared" si="18"/>
        <v>287.30769230769232</v>
      </c>
      <c r="P76">
        <f t="shared" si="19"/>
        <v>11.49</v>
      </c>
      <c r="Q76" s="14">
        <f t="shared" si="20"/>
        <v>298.79769230769233</v>
      </c>
      <c r="R76" s="14">
        <f t="shared" si="21"/>
        <v>-2.3076923076814637E-3</v>
      </c>
    </row>
    <row r="77" spans="1:18" ht="14.25" customHeight="1">
      <c r="A77" s="4">
        <v>7011</v>
      </c>
      <c r="B77" s="3" t="s">
        <v>4</v>
      </c>
      <c r="C77" s="10" t="s">
        <v>5</v>
      </c>
      <c r="D77" s="5">
        <v>298.8</v>
      </c>
      <c r="E77" s="10">
        <v>992.02</v>
      </c>
      <c r="F77" t="s">
        <v>14</v>
      </c>
      <c r="G77">
        <v>0.18</v>
      </c>
      <c r="H77">
        <v>0.73</v>
      </c>
      <c r="I77" s="14">
        <f t="shared" si="12"/>
        <v>52.964228510411104</v>
      </c>
      <c r="J77" s="14">
        <f t="shared" si="14"/>
        <v>953.35611318739984</v>
      </c>
      <c r="K77">
        <f t="shared" si="15"/>
        <v>38.659999999999997</v>
      </c>
      <c r="L77" s="14">
        <f t="shared" si="16"/>
        <v>992.01611318739981</v>
      </c>
      <c r="M77" s="14">
        <f t="shared" si="13"/>
        <v>-3.8868126001716519E-3</v>
      </c>
      <c r="N77" s="14">
        <f t="shared" si="17"/>
        <v>63.846153846153854</v>
      </c>
      <c r="O77" s="14">
        <f t="shared" si="18"/>
        <v>287.30769230769232</v>
      </c>
      <c r="P77">
        <f t="shared" si="19"/>
        <v>11.49</v>
      </c>
      <c r="Q77" s="14">
        <f t="shared" si="20"/>
        <v>298.79769230769233</v>
      </c>
      <c r="R77" s="14">
        <f t="shared" si="21"/>
        <v>-2.3076923076814637E-3</v>
      </c>
    </row>
    <row r="78" spans="1:18" ht="14.25" customHeight="1">
      <c r="A78" s="4">
        <v>7012</v>
      </c>
      <c r="B78" s="3" t="s">
        <v>4</v>
      </c>
      <c r="C78" s="10" t="s">
        <v>5</v>
      </c>
      <c r="D78" s="5">
        <v>298.8</v>
      </c>
      <c r="E78" s="10">
        <v>992.02</v>
      </c>
      <c r="F78" t="s">
        <v>14</v>
      </c>
      <c r="G78">
        <v>0.18</v>
      </c>
      <c r="H78">
        <v>0.74</v>
      </c>
      <c r="I78" s="14">
        <f t="shared" si="12"/>
        <v>52.935965848452511</v>
      </c>
      <c r="J78" s="14">
        <f t="shared" si="14"/>
        <v>952.84738527214517</v>
      </c>
      <c r="K78">
        <f t="shared" si="15"/>
        <v>39.17</v>
      </c>
      <c r="L78" s="14">
        <f t="shared" si="16"/>
        <v>992.01738527214513</v>
      </c>
      <c r="M78" s="14">
        <f t="shared" si="13"/>
        <v>-2.6147278548478425E-3</v>
      </c>
      <c r="N78" s="14">
        <f t="shared" si="17"/>
        <v>63.846153846153854</v>
      </c>
      <c r="O78" s="14">
        <f t="shared" si="18"/>
        <v>287.30769230769232</v>
      </c>
      <c r="P78">
        <f t="shared" si="19"/>
        <v>11.49</v>
      </c>
      <c r="Q78" s="14">
        <f t="shared" si="20"/>
        <v>298.79769230769233</v>
      </c>
      <c r="R78" s="14">
        <f t="shared" si="21"/>
        <v>-2.3076923076814637E-3</v>
      </c>
    </row>
    <row r="79" spans="1:18" ht="14.25" customHeight="1">
      <c r="A79" s="4">
        <v>7013</v>
      </c>
      <c r="B79" s="3" t="s">
        <v>4</v>
      </c>
      <c r="C79" s="10" t="s">
        <v>5</v>
      </c>
      <c r="D79" s="5">
        <v>298.8</v>
      </c>
      <c r="E79" s="10">
        <v>992.02</v>
      </c>
      <c r="F79" t="s">
        <v>14</v>
      </c>
      <c r="G79">
        <v>0.18</v>
      </c>
      <c r="H79">
        <v>0.73</v>
      </c>
      <c r="I79" s="14">
        <f t="shared" si="12"/>
        <v>52.964228510411104</v>
      </c>
      <c r="J79" s="14">
        <f t="shared" si="14"/>
        <v>953.35611318739984</v>
      </c>
      <c r="K79">
        <f t="shared" si="15"/>
        <v>38.659999999999997</v>
      </c>
      <c r="L79" s="14">
        <f t="shared" si="16"/>
        <v>992.01611318739981</v>
      </c>
      <c r="M79" s="14">
        <f t="shared" si="13"/>
        <v>-3.8868126001716519E-3</v>
      </c>
      <c r="N79" s="14">
        <f t="shared" si="17"/>
        <v>63.846153846153854</v>
      </c>
      <c r="O79" s="14">
        <f t="shared" si="18"/>
        <v>287.30769230769232</v>
      </c>
      <c r="P79">
        <f t="shared" si="19"/>
        <v>11.49</v>
      </c>
      <c r="Q79" s="14">
        <f t="shared" si="20"/>
        <v>298.79769230769233</v>
      </c>
      <c r="R79" s="14">
        <f t="shared" si="21"/>
        <v>-2.3076923076814637E-3</v>
      </c>
    </row>
    <row r="80" spans="1:18" ht="14.25" customHeight="1">
      <c r="A80" s="4">
        <v>7015</v>
      </c>
      <c r="B80" s="3" t="s">
        <v>4</v>
      </c>
      <c r="C80" s="10" t="s">
        <v>5</v>
      </c>
      <c r="D80" s="5">
        <v>298.8</v>
      </c>
      <c r="E80" s="10">
        <v>992.02</v>
      </c>
      <c r="F80" t="s">
        <v>14</v>
      </c>
      <c r="G80">
        <v>0.19</v>
      </c>
      <c r="H80">
        <v>0.78</v>
      </c>
      <c r="I80" s="14">
        <f t="shared" si="12"/>
        <v>52.823216187433438</v>
      </c>
      <c r="J80" s="14">
        <f t="shared" si="14"/>
        <v>950.8178913738019</v>
      </c>
      <c r="K80">
        <f t="shared" si="15"/>
        <v>41.2</v>
      </c>
      <c r="L80" s="14">
        <f t="shared" si="16"/>
        <v>992.01789137380194</v>
      </c>
      <c r="M80" s="14">
        <f t="shared" si="13"/>
        <v>-2.1086261980372001E-3</v>
      </c>
      <c r="N80" s="14">
        <f t="shared" si="17"/>
        <v>63.710021321961619</v>
      </c>
      <c r="O80" s="14">
        <f t="shared" si="18"/>
        <v>286.69509594882732</v>
      </c>
      <c r="P80">
        <f t="shared" si="19"/>
        <v>12.1</v>
      </c>
      <c r="Q80" s="14">
        <f t="shared" si="20"/>
        <v>298.79509594882734</v>
      </c>
      <c r="R80" s="14">
        <f t="shared" si="21"/>
        <v>-4.9040511726730074E-3</v>
      </c>
    </row>
    <row r="81" spans="1:18" ht="14.25" customHeight="1">
      <c r="A81" s="4">
        <v>7016</v>
      </c>
      <c r="B81" s="3" t="s">
        <v>4</v>
      </c>
      <c r="C81" s="10" t="s">
        <v>5</v>
      </c>
      <c r="D81" s="5">
        <v>298.8</v>
      </c>
      <c r="E81" s="10">
        <v>992.02</v>
      </c>
      <c r="F81" t="s">
        <v>14</v>
      </c>
      <c r="G81">
        <v>0.18</v>
      </c>
      <c r="H81">
        <v>0.73</v>
      </c>
      <c r="I81" s="14">
        <f t="shared" si="12"/>
        <v>52.964228510411104</v>
      </c>
      <c r="J81" s="14">
        <f t="shared" si="14"/>
        <v>953.35611318739984</v>
      </c>
      <c r="K81">
        <f t="shared" si="15"/>
        <v>38.659999999999997</v>
      </c>
      <c r="L81" s="14">
        <f t="shared" si="16"/>
        <v>992.01611318739981</v>
      </c>
      <c r="M81" s="14">
        <f t="shared" si="13"/>
        <v>-3.8868126001716519E-3</v>
      </c>
      <c r="N81" s="14">
        <f t="shared" si="17"/>
        <v>63.846153846153854</v>
      </c>
      <c r="O81" s="14">
        <f t="shared" si="18"/>
        <v>287.30769230769232</v>
      </c>
      <c r="P81">
        <f t="shared" si="19"/>
        <v>11.49</v>
      </c>
      <c r="Q81" s="14">
        <f t="shared" si="20"/>
        <v>298.79769230769233</v>
      </c>
      <c r="R81" s="14">
        <f t="shared" si="21"/>
        <v>-2.3076923076814637E-3</v>
      </c>
    </row>
    <row r="82" spans="1:18" ht="14.25" customHeight="1">
      <c r="A82" s="4">
        <v>7021</v>
      </c>
      <c r="B82" s="3" t="s">
        <v>4</v>
      </c>
      <c r="C82" s="10" t="s">
        <v>5</v>
      </c>
      <c r="D82" s="5">
        <v>298.8</v>
      </c>
      <c r="E82" s="10">
        <v>992.02</v>
      </c>
      <c r="F82" t="s">
        <v>14</v>
      </c>
      <c r="G82">
        <v>0.22</v>
      </c>
      <c r="H82">
        <v>0.89</v>
      </c>
      <c r="I82" s="14">
        <f t="shared" si="12"/>
        <v>52.515616728427737</v>
      </c>
      <c r="J82" s="14">
        <f t="shared" si="14"/>
        <v>945.28110111169929</v>
      </c>
      <c r="K82">
        <f t="shared" si="15"/>
        <v>46.74</v>
      </c>
      <c r="L82" s="14">
        <f t="shared" si="16"/>
        <v>992.02110111169929</v>
      </c>
      <c r="M82" s="14">
        <f t="shared" si="13"/>
        <v>1.1011116993131509E-3</v>
      </c>
      <c r="N82" s="14">
        <f t="shared" si="17"/>
        <v>63.30508474576272</v>
      </c>
      <c r="O82" s="14">
        <f t="shared" si="18"/>
        <v>284.87288135593224</v>
      </c>
      <c r="P82">
        <f t="shared" si="19"/>
        <v>13.93</v>
      </c>
      <c r="Q82" s="14">
        <f t="shared" si="20"/>
        <v>298.80288135593224</v>
      </c>
      <c r="R82" s="14">
        <f t="shared" si="21"/>
        <v>2.8813559322315996E-3</v>
      </c>
    </row>
    <row r="83" spans="1:18" ht="14.25" customHeight="1">
      <c r="A83" s="4">
        <v>7022</v>
      </c>
      <c r="B83" s="3" t="s">
        <v>4</v>
      </c>
      <c r="C83" s="10" t="s">
        <v>5</v>
      </c>
      <c r="D83" s="5">
        <v>298.8</v>
      </c>
      <c r="E83" s="10">
        <v>992.02</v>
      </c>
      <c r="F83" t="s">
        <v>14</v>
      </c>
      <c r="G83">
        <v>0.18</v>
      </c>
      <c r="H83">
        <v>0.73</v>
      </c>
      <c r="I83" s="14">
        <f t="shared" si="12"/>
        <v>52.964228510411104</v>
      </c>
      <c r="J83" s="14">
        <f t="shared" si="14"/>
        <v>953.35611318739984</v>
      </c>
      <c r="K83">
        <f t="shared" si="15"/>
        <v>38.659999999999997</v>
      </c>
      <c r="L83" s="14">
        <f t="shared" si="16"/>
        <v>992.01611318739981</v>
      </c>
      <c r="M83" s="14">
        <f t="shared" si="13"/>
        <v>-3.8868126001716519E-3</v>
      </c>
      <c r="N83" s="14">
        <f t="shared" si="17"/>
        <v>63.846153846153854</v>
      </c>
      <c r="O83" s="14">
        <f t="shared" si="18"/>
        <v>287.30769230769232</v>
      </c>
      <c r="P83">
        <f t="shared" si="19"/>
        <v>11.49</v>
      </c>
      <c r="Q83" s="14">
        <f t="shared" si="20"/>
        <v>298.79769230769233</v>
      </c>
      <c r="R83" s="14">
        <f t="shared" si="21"/>
        <v>-2.3076923076814637E-3</v>
      </c>
    </row>
    <row r="84" spans="1:18" ht="14.25" customHeight="1">
      <c r="A84" s="4">
        <v>7023</v>
      </c>
      <c r="B84" s="3" t="s">
        <v>4</v>
      </c>
      <c r="C84" s="10" t="s">
        <v>5</v>
      </c>
      <c r="D84" s="5">
        <v>298.8</v>
      </c>
      <c r="E84" s="10">
        <v>992.02</v>
      </c>
      <c r="F84" t="s">
        <v>14</v>
      </c>
      <c r="G84">
        <v>0.18</v>
      </c>
      <c r="H84">
        <v>0.71</v>
      </c>
      <c r="I84" s="14">
        <f t="shared" si="12"/>
        <v>53.020844468198824</v>
      </c>
      <c r="J84" s="14">
        <f t="shared" si="14"/>
        <v>954.37520042757887</v>
      </c>
      <c r="K84">
        <f t="shared" si="15"/>
        <v>37.64</v>
      </c>
      <c r="L84" s="14">
        <f t="shared" si="16"/>
        <v>992.01520042757886</v>
      </c>
      <c r="M84" s="14">
        <f t="shared" si="13"/>
        <v>-4.7995724211205015E-3</v>
      </c>
      <c r="N84" s="14">
        <f t="shared" si="17"/>
        <v>63.846153846153854</v>
      </c>
      <c r="O84" s="14">
        <f t="shared" si="18"/>
        <v>287.30769230769232</v>
      </c>
      <c r="P84">
        <f t="shared" si="19"/>
        <v>11.49</v>
      </c>
      <c r="Q84" s="14">
        <f t="shared" si="20"/>
        <v>298.79769230769233</v>
      </c>
      <c r="R84" s="14">
        <f t="shared" si="21"/>
        <v>-2.3076923076814637E-3</v>
      </c>
    </row>
    <row r="85" spans="1:18" ht="14.25" customHeight="1">
      <c r="A85" s="4">
        <v>7024</v>
      </c>
      <c r="B85" s="3" t="s">
        <v>4</v>
      </c>
      <c r="C85" s="10" t="s">
        <v>5</v>
      </c>
      <c r="D85" s="5">
        <v>298.8</v>
      </c>
      <c r="E85" s="10">
        <v>992.02</v>
      </c>
      <c r="F85" t="s">
        <v>14</v>
      </c>
      <c r="G85">
        <v>0.19</v>
      </c>
      <c r="H85">
        <v>0.76</v>
      </c>
      <c r="I85" s="14">
        <f t="shared" si="12"/>
        <v>52.879530916844345</v>
      </c>
      <c r="J85" s="14">
        <f t="shared" si="14"/>
        <v>951.83155650319827</v>
      </c>
      <c r="K85">
        <f t="shared" si="15"/>
        <v>40.19</v>
      </c>
      <c r="L85" s="14">
        <f t="shared" si="16"/>
        <v>992.02155650319833</v>
      </c>
      <c r="M85" s="14">
        <f t="shared" si="13"/>
        <v>1.5565031983442168E-3</v>
      </c>
      <c r="N85" s="14">
        <f t="shared" si="17"/>
        <v>63.710021321961619</v>
      </c>
      <c r="O85" s="14">
        <f t="shared" si="18"/>
        <v>286.69509594882732</v>
      </c>
      <c r="P85">
        <f t="shared" si="19"/>
        <v>12.1</v>
      </c>
      <c r="Q85" s="14">
        <f t="shared" si="20"/>
        <v>298.79509594882734</v>
      </c>
      <c r="R85" s="14">
        <f t="shared" si="21"/>
        <v>-4.9040511726730074E-3</v>
      </c>
    </row>
    <row r="86" spans="1:18" ht="14.25" customHeight="1">
      <c r="A86" s="4">
        <v>7026</v>
      </c>
      <c r="B86" s="3" t="s">
        <v>4</v>
      </c>
      <c r="C86" s="10" t="s">
        <v>5</v>
      </c>
      <c r="D86" s="5">
        <v>298.8</v>
      </c>
      <c r="E86" s="10">
        <v>992.02</v>
      </c>
      <c r="F86" t="s">
        <v>14</v>
      </c>
      <c r="G86">
        <v>0.18</v>
      </c>
      <c r="H86">
        <v>0.74</v>
      </c>
      <c r="I86" s="14">
        <f t="shared" si="12"/>
        <v>52.935965848452511</v>
      </c>
      <c r="J86" s="14">
        <f t="shared" si="14"/>
        <v>952.84738527214517</v>
      </c>
      <c r="K86">
        <f t="shared" si="15"/>
        <v>39.17</v>
      </c>
      <c r="L86" s="14">
        <f t="shared" si="16"/>
        <v>992.01738527214513</v>
      </c>
      <c r="M86" s="14">
        <f t="shared" si="13"/>
        <v>-2.6147278548478425E-3</v>
      </c>
      <c r="N86" s="14">
        <f t="shared" si="17"/>
        <v>63.846153846153854</v>
      </c>
      <c r="O86" s="14">
        <f t="shared" si="18"/>
        <v>287.30769230769232</v>
      </c>
      <c r="P86">
        <f t="shared" si="19"/>
        <v>11.49</v>
      </c>
      <c r="Q86" s="14">
        <f t="shared" si="20"/>
        <v>298.79769230769233</v>
      </c>
      <c r="R86" s="14">
        <f t="shared" si="21"/>
        <v>-2.3076923076814637E-3</v>
      </c>
    </row>
    <row r="87" spans="1:18" ht="14.25" customHeight="1">
      <c r="A87" s="4">
        <v>7030</v>
      </c>
      <c r="B87" s="3" t="s">
        <v>4</v>
      </c>
      <c r="C87" s="10" t="s">
        <v>5</v>
      </c>
      <c r="D87" s="5">
        <v>298.8</v>
      </c>
      <c r="E87" s="10">
        <v>992.02</v>
      </c>
      <c r="F87" t="s">
        <v>10</v>
      </c>
      <c r="G87">
        <v>0.06</v>
      </c>
      <c r="H87">
        <v>0.23</v>
      </c>
      <c r="I87" s="14">
        <f t="shared" si="12"/>
        <v>54.416895227646734</v>
      </c>
      <c r="J87" s="14">
        <f t="shared" si="14"/>
        <v>979.50411409764115</v>
      </c>
      <c r="K87">
        <f t="shared" si="15"/>
        <v>12.52</v>
      </c>
      <c r="L87" s="14">
        <f t="shared" si="16"/>
        <v>992.02411409764113</v>
      </c>
      <c r="M87" s="14">
        <f t="shared" si="13"/>
        <v>4.1140976411497832E-3</v>
      </c>
      <c r="N87" s="14">
        <f t="shared" si="17"/>
        <v>65.526315789473699</v>
      </c>
      <c r="O87" s="14">
        <f t="shared" si="18"/>
        <v>294.86842105263167</v>
      </c>
      <c r="P87">
        <f t="shared" si="19"/>
        <v>3.93</v>
      </c>
      <c r="Q87" s="14">
        <f t="shared" si="20"/>
        <v>298.79842105263168</v>
      </c>
      <c r="R87" s="14">
        <f t="shared" si="21"/>
        <v>-1.5789473683298638E-3</v>
      </c>
    </row>
    <row r="88" spans="1:18" ht="14.25" customHeight="1">
      <c r="A88" s="4">
        <v>7031</v>
      </c>
      <c r="B88" s="3" t="s">
        <v>4</v>
      </c>
      <c r="C88" s="10" t="s">
        <v>5</v>
      </c>
      <c r="D88" s="5">
        <v>298.8</v>
      </c>
      <c r="E88" s="10">
        <v>992.02</v>
      </c>
      <c r="F88" t="s">
        <v>14</v>
      </c>
      <c r="G88">
        <v>0.2</v>
      </c>
      <c r="H88">
        <v>0.79</v>
      </c>
      <c r="I88" s="14">
        <f t="shared" si="12"/>
        <v>52.795103778605643</v>
      </c>
      <c r="J88" s="14">
        <f t="shared" si="14"/>
        <v>950.31186801490162</v>
      </c>
      <c r="K88">
        <f t="shared" si="15"/>
        <v>41.71</v>
      </c>
      <c r="L88" s="14">
        <f t="shared" si="16"/>
        <v>992.02186801490166</v>
      </c>
      <c r="M88" s="14">
        <f t="shared" si="13"/>
        <v>1.8680149016745418E-3</v>
      </c>
      <c r="N88" s="14">
        <f t="shared" si="17"/>
        <v>63.574468085106382</v>
      </c>
      <c r="O88" s="14">
        <f t="shared" si="18"/>
        <v>286.08510638297872</v>
      </c>
      <c r="P88">
        <f t="shared" si="19"/>
        <v>12.71</v>
      </c>
      <c r="Q88" s="14">
        <f t="shared" si="20"/>
        <v>298.7951063829787</v>
      </c>
      <c r="R88" s="14">
        <f t="shared" si="21"/>
        <v>-4.8936170213096375E-3</v>
      </c>
    </row>
    <row r="89" spans="1:18" ht="14.25" customHeight="1">
      <c r="A89" s="4">
        <v>7032</v>
      </c>
      <c r="B89" s="3" t="s">
        <v>4</v>
      </c>
      <c r="C89" s="10" t="s">
        <v>5</v>
      </c>
      <c r="D89" s="5">
        <v>298.8</v>
      </c>
      <c r="E89" s="10">
        <v>992.02</v>
      </c>
      <c r="F89" t="s">
        <v>10</v>
      </c>
      <c r="G89">
        <v>0.03</v>
      </c>
      <c r="H89">
        <v>0.11</v>
      </c>
      <c r="I89" s="14">
        <f t="shared" si="12"/>
        <v>54.777471010491439</v>
      </c>
      <c r="J89" s="14">
        <f t="shared" si="14"/>
        <v>985.99447818884596</v>
      </c>
      <c r="K89">
        <f t="shared" si="15"/>
        <v>6.03</v>
      </c>
      <c r="L89" s="14">
        <f t="shared" si="16"/>
        <v>992.02447818884593</v>
      </c>
      <c r="M89" s="14">
        <f t="shared" si="13"/>
        <v>4.478188845951081E-3</v>
      </c>
      <c r="N89" s="14">
        <f t="shared" si="17"/>
        <v>65.960264900662253</v>
      </c>
      <c r="O89" s="14">
        <f t="shared" si="18"/>
        <v>296.82119205298011</v>
      </c>
      <c r="P89">
        <f t="shared" si="19"/>
        <v>1.98</v>
      </c>
      <c r="Q89" s="14">
        <f t="shared" si="20"/>
        <v>298.80119205298013</v>
      </c>
      <c r="R89" s="14">
        <f t="shared" si="21"/>
        <v>1.1920529801159319E-3</v>
      </c>
    </row>
    <row r="90" spans="1:18" ht="14.25" customHeight="1">
      <c r="A90" s="4">
        <v>7034</v>
      </c>
      <c r="B90" s="3" t="s">
        <v>4</v>
      </c>
      <c r="C90" s="10" t="s">
        <v>5</v>
      </c>
      <c r="D90" s="5">
        <v>298.8</v>
      </c>
      <c r="E90" s="10">
        <v>992.02</v>
      </c>
      <c r="F90" t="s">
        <v>14</v>
      </c>
      <c r="G90">
        <v>0.19</v>
      </c>
      <c r="H90">
        <v>0.76</v>
      </c>
      <c r="I90" s="14">
        <f t="shared" si="12"/>
        <v>52.879530916844345</v>
      </c>
      <c r="J90" s="14">
        <f t="shared" si="14"/>
        <v>951.83155650319827</v>
      </c>
      <c r="K90">
        <f t="shared" si="15"/>
        <v>40.19</v>
      </c>
      <c r="L90" s="14">
        <f t="shared" si="16"/>
        <v>992.02155650319833</v>
      </c>
      <c r="M90" s="14">
        <f t="shared" si="13"/>
        <v>1.5565031983442168E-3</v>
      </c>
      <c r="N90" s="14">
        <f t="shared" si="17"/>
        <v>63.710021321961619</v>
      </c>
      <c r="O90" s="14">
        <f t="shared" si="18"/>
        <v>286.69509594882732</v>
      </c>
      <c r="P90">
        <f t="shared" si="19"/>
        <v>12.1</v>
      </c>
      <c r="Q90" s="14">
        <f t="shared" si="20"/>
        <v>298.79509594882734</v>
      </c>
      <c r="R90" s="14">
        <f t="shared" si="21"/>
        <v>-4.9040511726730074E-3</v>
      </c>
    </row>
    <row r="91" spans="1:18" ht="14.25" customHeight="1">
      <c r="A91" s="4">
        <v>7035</v>
      </c>
      <c r="B91" s="3" t="s">
        <v>6</v>
      </c>
      <c r="C91" s="10" t="s">
        <v>7</v>
      </c>
      <c r="D91" s="5">
        <v>351.9</v>
      </c>
      <c r="E91" s="10">
        <v>1168.31</v>
      </c>
      <c r="F91" t="s">
        <v>12</v>
      </c>
      <c r="G91">
        <v>0.01</v>
      </c>
      <c r="H91">
        <v>0.05</v>
      </c>
      <c r="I91" s="14">
        <f t="shared" si="12"/>
        <v>64.726315789473674</v>
      </c>
      <c r="J91" s="14">
        <f t="shared" si="14"/>
        <v>1165.0736842105262</v>
      </c>
      <c r="K91">
        <f t="shared" si="15"/>
        <v>3.24</v>
      </c>
      <c r="L91" s="14">
        <f t="shared" si="16"/>
        <v>1168.3136842105262</v>
      </c>
      <c r="M91" s="14">
        <f t="shared" si="13"/>
        <v>3.6842105262167024E-3</v>
      </c>
      <c r="N91" s="14">
        <f t="shared" si="17"/>
        <v>78.026607538802665</v>
      </c>
      <c r="O91" s="14">
        <f t="shared" si="18"/>
        <v>351.11973392461198</v>
      </c>
      <c r="P91">
        <f t="shared" si="19"/>
        <v>0.78</v>
      </c>
      <c r="Q91" s="14">
        <f t="shared" si="20"/>
        <v>351.89973392461195</v>
      </c>
      <c r="R91" s="14">
        <f t="shared" si="21"/>
        <v>-2.6607538802636554E-4</v>
      </c>
    </row>
    <row r="92" spans="1:18" ht="14.25" customHeight="1">
      <c r="A92" s="4">
        <v>7036</v>
      </c>
      <c r="B92" s="3" t="s">
        <v>4</v>
      </c>
      <c r="C92" s="10" t="s">
        <v>5</v>
      </c>
      <c r="D92" s="5">
        <v>298.8</v>
      </c>
      <c r="E92" s="10">
        <v>992.02</v>
      </c>
      <c r="F92" t="s">
        <v>10</v>
      </c>
      <c r="G92">
        <v>0.03</v>
      </c>
      <c r="H92">
        <v>0.12</v>
      </c>
      <c r="I92" s="14">
        <f t="shared" si="12"/>
        <v>54.747240618101543</v>
      </c>
      <c r="J92" s="14">
        <f t="shared" si="14"/>
        <v>985.4503311258278</v>
      </c>
      <c r="K92">
        <f t="shared" si="15"/>
        <v>6.57</v>
      </c>
      <c r="L92" s="14">
        <f t="shared" si="16"/>
        <v>992.02033112582785</v>
      </c>
      <c r="M92" s="14">
        <f t="shared" si="13"/>
        <v>3.3112582786998246E-4</v>
      </c>
      <c r="N92" s="14">
        <f t="shared" si="17"/>
        <v>65.960264900662253</v>
      </c>
      <c r="O92" s="14">
        <f t="shared" si="18"/>
        <v>296.82119205298011</v>
      </c>
      <c r="P92">
        <f t="shared" si="19"/>
        <v>1.98</v>
      </c>
      <c r="Q92" s="14">
        <f t="shared" si="20"/>
        <v>298.80119205298013</v>
      </c>
      <c r="R92" s="14">
        <f t="shared" si="21"/>
        <v>1.1920529801159319E-3</v>
      </c>
    </row>
    <row r="93" spans="1:18" ht="14.25" customHeight="1">
      <c r="A93" s="4">
        <v>7037</v>
      </c>
      <c r="B93" s="3" t="s">
        <v>4</v>
      </c>
      <c r="C93" s="10" t="s">
        <v>5</v>
      </c>
      <c r="D93" s="5">
        <v>298.8</v>
      </c>
      <c r="E93" s="10">
        <v>992.02</v>
      </c>
      <c r="F93" t="s">
        <v>14</v>
      </c>
      <c r="G93">
        <v>0.21</v>
      </c>
      <c r="H93">
        <v>0.83</v>
      </c>
      <c r="I93" s="14">
        <f t="shared" si="12"/>
        <v>52.68295273499735</v>
      </c>
      <c r="J93" s="14">
        <f t="shared" si="14"/>
        <v>948.29314922995229</v>
      </c>
      <c r="K93">
        <f t="shared" si="15"/>
        <v>43.73</v>
      </c>
      <c r="L93" s="14">
        <f t="shared" si="16"/>
        <v>992.02314922995231</v>
      </c>
      <c r="M93" s="14">
        <f t="shared" si="13"/>
        <v>3.1492299523279144E-3</v>
      </c>
      <c r="N93" s="14">
        <f t="shared" si="17"/>
        <v>63.439490445859875</v>
      </c>
      <c r="O93" s="14">
        <f t="shared" si="18"/>
        <v>285.47770700636943</v>
      </c>
      <c r="P93">
        <f t="shared" si="19"/>
        <v>13.32</v>
      </c>
      <c r="Q93" s="14">
        <f t="shared" si="20"/>
        <v>298.79770700636942</v>
      </c>
      <c r="R93" s="14">
        <f t="shared" si="21"/>
        <v>-2.2929936305899901E-3</v>
      </c>
    </row>
    <row r="94" spans="1:18" ht="14.25" customHeight="1">
      <c r="A94" s="4">
        <v>7038</v>
      </c>
      <c r="B94" s="3" t="s">
        <v>4</v>
      </c>
      <c r="C94" s="10" t="s">
        <v>5</v>
      </c>
      <c r="D94" s="5">
        <v>298.8</v>
      </c>
      <c r="E94" s="10">
        <v>992.02</v>
      </c>
      <c r="F94" t="s">
        <v>10</v>
      </c>
      <c r="G94">
        <v>0.02</v>
      </c>
      <c r="H94">
        <v>0.08</v>
      </c>
      <c r="I94" s="14">
        <f t="shared" si="12"/>
        <v>54.868362831858413</v>
      </c>
      <c r="J94" s="14">
        <f t="shared" si="14"/>
        <v>987.63053097345141</v>
      </c>
      <c r="K94">
        <f t="shared" si="15"/>
        <v>4.3899999999999997</v>
      </c>
      <c r="L94" s="14">
        <f t="shared" si="16"/>
        <v>992.0205309734514</v>
      </c>
      <c r="M94" s="14">
        <f t="shared" si="13"/>
        <v>5.3097345141850383E-4</v>
      </c>
      <c r="N94" s="14">
        <f t="shared" si="17"/>
        <v>66.106194690265497</v>
      </c>
      <c r="O94" s="14">
        <f t="shared" si="18"/>
        <v>297.47787610619474</v>
      </c>
      <c r="P94">
        <f t="shared" si="19"/>
        <v>1.32</v>
      </c>
      <c r="Q94" s="14">
        <f t="shared" si="20"/>
        <v>298.79787610619474</v>
      </c>
      <c r="R94" s="14">
        <f t="shared" si="21"/>
        <v>-2.1238938052761114E-3</v>
      </c>
    </row>
    <row r="95" spans="1:18" ht="14.25" customHeight="1">
      <c r="A95" s="4">
        <v>7039</v>
      </c>
      <c r="B95" s="3" t="s">
        <v>4</v>
      </c>
      <c r="C95" s="10" t="s">
        <v>5</v>
      </c>
      <c r="D95" s="5">
        <v>298.8</v>
      </c>
      <c r="E95" s="10">
        <v>992.02</v>
      </c>
      <c r="F95" t="s">
        <v>14</v>
      </c>
      <c r="G95">
        <v>0.18</v>
      </c>
      <c r="H95">
        <v>0.72</v>
      </c>
      <c r="I95" s="14">
        <f t="shared" si="12"/>
        <v>52.99252136752137</v>
      </c>
      <c r="J95" s="14">
        <f t="shared" si="14"/>
        <v>953.86538461538464</v>
      </c>
      <c r="K95">
        <f t="shared" si="15"/>
        <v>38.15</v>
      </c>
      <c r="L95" s="14">
        <f t="shared" si="16"/>
        <v>992.01538461538462</v>
      </c>
      <c r="M95" s="14">
        <f t="shared" si="13"/>
        <v>-4.6153846153629274E-3</v>
      </c>
      <c r="N95" s="14">
        <f t="shared" si="17"/>
        <v>63.846153846153854</v>
      </c>
      <c r="O95" s="14">
        <f t="shared" si="18"/>
        <v>287.30769230769232</v>
      </c>
      <c r="P95">
        <f t="shared" si="19"/>
        <v>11.49</v>
      </c>
      <c r="Q95" s="14">
        <f t="shared" si="20"/>
        <v>298.79769230769233</v>
      </c>
      <c r="R95" s="14">
        <f t="shared" si="21"/>
        <v>-2.3076923076814637E-3</v>
      </c>
    </row>
    <row r="96" spans="1:18" ht="14.25" customHeight="1">
      <c r="A96" s="4">
        <v>7040</v>
      </c>
      <c r="B96" s="3" t="s">
        <v>4</v>
      </c>
      <c r="C96" s="10" t="s">
        <v>5</v>
      </c>
      <c r="D96" s="5">
        <v>298.8</v>
      </c>
      <c r="E96" s="10">
        <v>992.02</v>
      </c>
      <c r="F96" t="s">
        <v>10</v>
      </c>
      <c r="G96">
        <v>0.02</v>
      </c>
      <c r="H96">
        <v>0.09</v>
      </c>
      <c r="I96" s="14">
        <f t="shared" si="12"/>
        <v>54.838032061912656</v>
      </c>
      <c r="J96" s="14">
        <f t="shared" si="14"/>
        <v>987.08457711442782</v>
      </c>
      <c r="K96">
        <f t="shared" si="15"/>
        <v>4.9400000000000004</v>
      </c>
      <c r="L96" s="14">
        <f t="shared" si="16"/>
        <v>992.02457711442787</v>
      </c>
      <c r="M96" s="14">
        <f t="shared" si="13"/>
        <v>4.5771144278887732E-3</v>
      </c>
      <c r="N96" s="14">
        <f t="shared" si="17"/>
        <v>66.106194690265497</v>
      </c>
      <c r="O96" s="14">
        <f t="shared" si="18"/>
        <v>297.47787610619474</v>
      </c>
      <c r="P96">
        <f t="shared" si="19"/>
        <v>1.32</v>
      </c>
      <c r="Q96" s="14">
        <f t="shared" si="20"/>
        <v>298.79787610619474</v>
      </c>
      <c r="R96" s="14">
        <f t="shared" si="21"/>
        <v>-2.1238938052761114E-3</v>
      </c>
    </row>
    <row r="97" spans="1:18" ht="14.25" customHeight="1">
      <c r="A97" s="4">
        <v>7042</v>
      </c>
      <c r="B97" s="3" t="s">
        <v>4</v>
      </c>
      <c r="C97" s="10" t="s">
        <v>5</v>
      </c>
      <c r="D97" s="5">
        <v>298.8</v>
      </c>
      <c r="E97" s="10">
        <v>992.02</v>
      </c>
      <c r="F97" t="s">
        <v>10</v>
      </c>
      <c r="G97">
        <v>0.03</v>
      </c>
      <c r="H97">
        <v>0.12</v>
      </c>
      <c r="I97" s="14">
        <f t="shared" si="12"/>
        <v>54.747240618101543</v>
      </c>
      <c r="J97" s="14">
        <f t="shared" si="14"/>
        <v>985.4503311258278</v>
      </c>
      <c r="K97">
        <f t="shared" si="15"/>
        <v>6.57</v>
      </c>
      <c r="L97" s="14">
        <f t="shared" si="16"/>
        <v>992.02033112582785</v>
      </c>
      <c r="M97" s="14">
        <f t="shared" si="13"/>
        <v>3.3112582786998246E-4</v>
      </c>
      <c r="N97" s="14">
        <f t="shared" si="17"/>
        <v>65.960264900662253</v>
      </c>
      <c r="O97" s="14">
        <f t="shared" si="18"/>
        <v>296.82119205298011</v>
      </c>
      <c r="P97">
        <f t="shared" si="19"/>
        <v>1.98</v>
      </c>
      <c r="Q97" s="14">
        <f t="shared" si="20"/>
        <v>298.80119205298013</v>
      </c>
      <c r="R97" s="14">
        <f t="shared" si="21"/>
        <v>1.1920529801159319E-3</v>
      </c>
    </row>
    <row r="98" spans="1:18" ht="14.25" customHeight="1">
      <c r="A98" s="4">
        <v>7043</v>
      </c>
      <c r="B98" s="3" t="s">
        <v>4</v>
      </c>
      <c r="C98" s="10" t="s">
        <v>5</v>
      </c>
      <c r="D98" s="5">
        <v>298.8</v>
      </c>
      <c r="E98" s="10">
        <v>992.02</v>
      </c>
      <c r="F98" t="s">
        <v>14</v>
      </c>
      <c r="G98">
        <v>0.18</v>
      </c>
      <c r="H98">
        <v>0.74</v>
      </c>
      <c r="I98" s="14">
        <f t="shared" si="12"/>
        <v>52.935965848452511</v>
      </c>
      <c r="J98" s="14">
        <f t="shared" si="14"/>
        <v>952.84738527214517</v>
      </c>
      <c r="K98">
        <f t="shared" si="15"/>
        <v>39.17</v>
      </c>
      <c r="L98" s="14">
        <f t="shared" si="16"/>
        <v>992.01738527214513</v>
      </c>
      <c r="M98" s="14">
        <f t="shared" si="13"/>
        <v>-2.6147278548478425E-3</v>
      </c>
      <c r="N98" s="14">
        <f t="shared" si="17"/>
        <v>63.846153846153854</v>
      </c>
      <c r="O98" s="14">
        <f t="shared" si="18"/>
        <v>287.30769230769232</v>
      </c>
      <c r="P98">
        <f t="shared" si="19"/>
        <v>11.49</v>
      </c>
      <c r="Q98" s="14">
        <f t="shared" si="20"/>
        <v>298.79769230769233</v>
      </c>
      <c r="R98" s="14">
        <f t="shared" si="21"/>
        <v>-2.3076923076814637E-3</v>
      </c>
    </row>
    <row r="99" spans="1:18" ht="14.25" customHeight="1">
      <c r="A99" s="4">
        <v>7045</v>
      </c>
      <c r="B99" s="3" t="s">
        <v>4</v>
      </c>
      <c r="C99" s="10" t="s">
        <v>5</v>
      </c>
      <c r="D99" s="5">
        <v>298.8</v>
      </c>
      <c r="E99" s="10">
        <v>992.02</v>
      </c>
      <c r="F99" t="s">
        <v>10</v>
      </c>
      <c r="G99">
        <v>0.03</v>
      </c>
      <c r="H99">
        <v>0.12</v>
      </c>
      <c r="I99" s="14">
        <f t="shared" si="12"/>
        <v>54.747240618101543</v>
      </c>
      <c r="J99" s="14">
        <f t="shared" si="14"/>
        <v>985.4503311258278</v>
      </c>
      <c r="K99">
        <f t="shared" si="15"/>
        <v>6.57</v>
      </c>
      <c r="L99" s="14">
        <f t="shared" si="16"/>
        <v>992.02033112582785</v>
      </c>
      <c r="M99" s="14">
        <f t="shared" si="13"/>
        <v>3.3112582786998246E-4</v>
      </c>
      <c r="N99" s="14">
        <f t="shared" si="17"/>
        <v>65.960264900662253</v>
      </c>
      <c r="O99" s="14">
        <f t="shared" si="18"/>
        <v>296.82119205298011</v>
      </c>
      <c r="P99">
        <f t="shared" si="19"/>
        <v>1.98</v>
      </c>
      <c r="Q99" s="14">
        <f t="shared" si="20"/>
        <v>298.80119205298013</v>
      </c>
      <c r="R99" s="14">
        <f t="shared" si="21"/>
        <v>1.1920529801159319E-3</v>
      </c>
    </row>
    <row r="100" spans="1:18" ht="14.25" customHeight="1">
      <c r="A100" s="4">
        <v>7046</v>
      </c>
      <c r="B100" s="3" t="s">
        <v>4</v>
      </c>
      <c r="C100" s="10" t="s">
        <v>5</v>
      </c>
      <c r="D100" s="5">
        <v>298.8</v>
      </c>
      <c r="E100" s="10">
        <v>992.02</v>
      </c>
      <c r="F100" t="s">
        <v>14</v>
      </c>
      <c r="G100">
        <v>0.18</v>
      </c>
      <c r="H100">
        <v>0.74</v>
      </c>
      <c r="I100" s="14">
        <f t="shared" ref="I100:I123" si="22">+E100/(18+H100)</f>
        <v>52.935965848452511</v>
      </c>
      <c r="J100" s="14">
        <f t="shared" si="14"/>
        <v>952.84738527214517</v>
      </c>
      <c r="K100">
        <f t="shared" si="15"/>
        <v>39.17</v>
      </c>
      <c r="L100" s="14">
        <f t="shared" si="16"/>
        <v>992.01738527214513</v>
      </c>
      <c r="M100" s="14">
        <f t="shared" ref="M100:M123" si="23">+L100-E100</f>
        <v>-2.6147278548478425E-3</v>
      </c>
      <c r="N100" s="14">
        <f t="shared" si="17"/>
        <v>63.846153846153854</v>
      </c>
      <c r="O100" s="14">
        <f t="shared" si="18"/>
        <v>287.30769230769232</v>
      </c>
      <c r="P100">
        <f t="shared" si="19"/>
        <v>11.49</v>
      </c>
      <c r="Q100" s="14">
        <f t="shared" si="20"/>
        <v>298.79769230769233</v>
      </c>
      <c r="R100" s="14">
        <f t="shared" si="21"/>
        <v>-2.3076923076814637E-3</v>
      </c>
    </row>
    <row r="101" spans="1:18" ht="14.25" customHeight="1">
      <c r="A101" s="4">
        <v>7047</v>
      </c>
      <c r="B101" s="3" t="s">
        <v>6</v>
      </c>
      <c r="C101" s="10" t="s">
        <v>7</v>
      </c>
      <c r="D101" s="5">
        <v>351.9</v>
      </c>
      <c r="E101" s="10">
        <v>1168.31</v>
      </c>
      <c r="F101" t="s">
        <v>12</v>
      </c>
      <c r="G101">
        <v>0.01</v>
      </c>
      <c r="H101">
        <v>0.04</v>
      </c>
      <c r="I101" s="14">
        <f t="shared" si="22"/>
        <v>64.762195121951223</v>
      </c>
      <c r="J101" s="14">
        <f t="shared" si="14"/>
        <v>1165.719512195122</v>
      </c>
      <c r="K101">
        <f t="shared" si="15"/>
        <v>2.59</v>
      </c>
      <c r="L101" s="14">
        <f t="shared" si="16"/>
        <v>1168.3095121951219</v>
      </c>
      <c r="M101" s="14">
        <f t="shared" si="23"/>
        <v>-4.8780487804833683E-4</v>
      </c>
      <c r="N101" s="14">
        <f t="shared" si="17"/>
        <v>78.026607538802665</v>
      </c>
      <c r="O101" s="14">
        <f t="shared" si="18"/>
        <v>351.11973392461198</v>
      </c>
      <c r="P101">
        <f t="shared" si="19"/>
        <v>0.78</v>
      </c>
      <c r="Q101" s="14">
        <f t="shared" si="20"/>
        <v>351.89973392461195</v>
      </c>
      <c r="R101" s="14">
        <f t="shared" si="21"/>
        <v>-2.6607538802636554E-4</v>
      </c>
    </row>
    <row r="102" spans="1:18" ht="14.25" customHeight="1">
      <c r="A102" s="4">
        <v>8001</v>
      </c>
      <c r="B102" s="3" t="s">
        <v>4</v>
      </c>
      <c r="C102" s="10" t="s">
        <v>5</v>
      </c>
      <c r="D102" s="5">
        <v>298.8</v>
      </c>
      <c r="E102" s="10">
        <v>992.02</v>
      </c>
      <c r="F102" t="s">
        <v>14</v>
      </c>
      <c r="G102">
        <v>0.34</v>
      </c>
      <c r="H102">
        <v>1.35</v>
      </c>
      <c r="I102" s="14">
        <f t="shared" si="22"/>
        <v>51.267183462532294</v>
      </c>
      <c r="J102" s="14">
        <f t="shared" si="14"/>
        <v>922.80930232558126</v>
      </c>
      <c r="K102">
        <f t="shared" si="15"/>
        <v>69.209999999999994</v>
      </c>
      <c r="L102" s="14">
        <f t="shared" si="16"/>
        <v>992.01930232558129</v>
      </c>
      <c r="M102" s="14">
        <f t="shared" si="23"/>
        <v>-6.9767441868862079E-4</v>
      </c>
      <c r="N102" s="14">
        <f t="shared" si="17"/>
        <v>61.735537190082646</v>
      </c>
      <c r="O102" s="14">
        <f t="shared" si="18"/>
        <v>277.80991735537191</v>
      </c>
      <c r="P102">
        <f t="shared" si="19"/>
        <v>20.99</v>
      </c>
      <c r="Q102" s="14">
        <f t="shared" si="20"/>
        <v>298.79991735537192</v>
      </c>
      <c r="R102" s="14">
        <f t="shared" si="21"/>
        <v>-8.2644628093930805E-5</v>
      </c>
    </row>
    <row r="103" spans="1:18" ht="14.25" customHeight="1">
      <c r="A103" s="4">
        <v>8002</v>
      </c>
      <c r="B103" s="3" t="s">
        <v>4</v>
      </c>
      <c r="C103" s="10" t="s">
        <v>5</v>
      </c>
      <c r="D103" s="5">
        <v>298.8</v>
      </c>
      <c r="E103" s="10">
        <v>992.02</v>
      </c>
      <c r="F103" t="s">
        <v>14</v>
      </c>
      <c r="G103">
        <v>0.18</v>
      </c>
      <c r="H103">
        <v>0.73</v>
      </c>
      <c r="I103" s="14">
        <f t="shared" si="22"/>
        <v>52.964228510411104</v>
      </c>
      <c r="J103" s="14">
        <f t="shared" si="14"/>
        <v>953.35611318739984</v>
      </c>
      <c r="K103">
        <f t="shared" si="15"/>
        <v>38.659999999999997</v>
      </c>
      <c r="L103" s="14">
        <f t="shared" si="16"/>
        <v>992.01611318739981</v>
      </c>
      <c r="M103" s="14">
        <f t="shared" si="23"/>
        <v>-3.8868126001716519E-3</v>
      </c>
      <c r="N103" s="14">
        <f t="shared" si="17"/>
        <v>63.846153846153854</v>
      </c>
      <c r="O103" s="14">
        <f t="shared" si="18"/>
        <v>287.30769230769232</v>
      </c>
      <c r="P103">
        <f t="shared" si="19"/>
        <v>11.49</v>
      </c>
      <c r="Q103" s="14">
        <f t="shared" si="20"/>
        <v>298.79769230769233</v>
      </c>
      <c r="R103" s="14">
        <f t="shared" si="21"/>
        <v>-2.3076923076814637E-3</v>
      </c>
    </row>
    <row r="104" spans="1:18" ht="14.25" customHeight="1">
      <c r="A104" s="4">
        <v>8003</v>
      </c>
      <c r="B104" s="3" t="s">
        <v>4</v>
      </c>
      <c r="C104" s="10" t="s">
        <v>5</v>
      </c>
      <c r="D104" s="5">
        <v>298.8</v>
      </c>
      <c r="E104" s="10">
        <v>992.02</v>
      </c>
      <c r="F104" t="s">
        <v>14</v>
      </c>
      <c r="G104">
        <v>0.27</v>
      </c>
      <c r="H104">
        <v>1.0900000000000001</v>
      </c>
      <c r="I104" s="14">
        <f t="shared" si="22"/>
        <v>51.96542692509167</v>
      </c>
      <c r="J104" s="14">
        <f t="shared" si="14"/>
        <v>935.37768465165004</v>
      </c>
      <c r="K104">
        <f t="shared" si="15"/>
        <v>56.64</v>
      </c>
      <c r="L104" s="14">
        <f t="shared" si="16"/>
        <v>992.01768465165003</v>
      </c>
      <c r="M104" s="14">
        <f t="shared" si="23"/>
        <v>-2.3153483499527283E-3</v>
      </c>
      <c r="N104" s="14">
        <f t="shared" si="17"/>
        <v>62.64150943396227</v>
      </c>
      <c r="O104" s="14">
        <f t="shared" si="18"/>
        <v>281.88679245283021</v>
      </c>
      <c r="P104">
        <f t="shared" si="19"/>
        <v>16.91</v>
      </c>
      <c r="Q104" s="14">
        <f t="shared" si="20"/>
        <v>298.79679245283023</v>
      </c>
      <c r="R104" s="14">
        <f t="shared" si="21"/>
        <v>-3.2075471697794455E-3</v>
      </c>
    </row>
    <row r="105" spans="1:18" ht="14.25" customHeight="1">
      <c r="A105" s="4">
        <v>8004</v>
      </c>
      <c r="B105" s="3" t="s">
        <v>4</v>
      </c>
      <c r="C105" s="10" t="s">
        <v>5</v>
      </c>
      <c r="D105" s="5">
        <v>298.8</v>
      </c>
      <c r="E105" s="10">
        <v>992.02</v>
      </c>
      <c r="F105" t="s">
        <v>14</v>
      </c>
      <c r="G105">
        <v>0.23</v>
      </c>
      <c r="H105">
        <v>0.9</v>
      </c>
      <c r="I105" s="14">
        <f t="shared" si="22"/>
        <v>52.487830687830687</v>
      </c>
      <c r="J105" s="14">
        <f t="shared" si="14"/>
        <v>944.78095238095239</v>
      </c>
      <c r="K105">
        <f t="shared" si="15"/>
        <v>47.24</v>
      </c>
      <c r="L105" s="14">
        <f t="shared" si="16"/>
        <v>992.02095238095239</v>
      </c>
      <c r="M105" s="14">
        <f t="shared" si="23"/>
        <v>9.5238095241256815E-4</v>
      </c>
      <c r="N105" s="14">
        <f t="shared" si="17"/>
        <v>63.171247357293865</v>
      </c>
      <c r="O105" s="14">
        <f t="shared" si="18"/>
        <v>284.27061310782238</v>
      </c>
      <c r="P105">
        <f t="shared" si="19"/>
        <v>14.53</v>
      </c>
      <c r="Q105" s="14">
        <f t="shared" si="20"/>
        <v>298.80061310782236</v>
      </c>
      <c r="R105" s="14">
        <f t="shared" si="21"/>
        <v>6.1310782234613725E-4</v>
      </c>
    </row>
    <row r="106" spans="1:18" ht="14.25" customHeight="1">
      <c r="A106" s="4">
        <v>8011</v>
      </c>
      <c r="B106" s="3" t="s">
        <v>4</v>
      </c>
      <c r="C106" s="10" t="s">
        <v>5</v>
      </c>
      <c r="D106" s="5">
        <v>298.8</v>
      </c>
      <c r="E106" s="10">
        <v>992.02</v>
      </c>
      <c r="F106" t="s">
        <v>14</v>
      </c>
      <c r="G106">
        <v>0.18</v>
      </c>
      <c r="H106">
        <v>0.74</v>
      </c>
      <c r="I106" s="14">
        <f t="shared" si="22"/>
        <v>52.935965848452511</v>
      </c>
      <c r="J106" s="14">
        <f t="shared" si="14"/>
        <v>952.84738527214517</v>
      </c>
      <c r="K106">
        <f t="shared" si="15"/>
        <v>39.17</v>
      </c>
      <c r="L106" s="14">
        <f t="shared" si="16"/>
        <v>992.01738527214513</v>
      </c>
      <c r="M106" s="14">
        <f t="shared" si="23"/>
        <v>-2.6147278548478425E-3</v>
      </c>
      <c r="N106" s="14">
        <f t="shared" si="17"/>
        <v>63.846153846153854</v>
      </c>
      <c r="O106" s="14">
        <f t="shared" si="18"/>
        <v>287.30769230769232</v>
      </c>
      <c r="P106">
        <f t="shared" si="19"/>
        <v>11.49</v>
      </c>
      <c r="Q106" s="14">
        <f t="shared" si="20"/>
        <v>298.79769230769233</v>
      </c>
      <c r="R106" s="14">
        <f t="shared" si="21"/>
        <v>-2.3076923076814637E-3</v>
      </c>
    </row>
    <row r="107" spans="1:18" ht="14.25" customHeight="1">
      <c r="A107" s="4">
        <v>8012</v>
      </c>
      <c r="B107" s="3" t="s">
        <v>4</v>
      </c>
      <c r="C107" s="10" t="s">
        <v>5</v>
      </c>
      <c r="D107" s="5">
        <v>298.8</v>
      </c>
      <c r="E107" s="10">
        <v>992.02</v>
      </c>
      <c r="F107" t="s">
        <v>14</v>
      </c>
      <c r="G107">
        <v>0.18</v>
      </c>
      <c r="H107">
        <v>0.74</v>
      </c>
      <c r="I107" s="14">
        <f t="shared" si="22"/>
        <v>52.935965848452511</v>
      </c>
      <c r="J107" s="14">
        <f t="shared" si="14"/>
        <v>952.84738527214517</v>
      </c>
      <c r="K107">
        <f t="shared" si="15"/>
        <v>39.17</v>
      </c>
      <c r="L107" s="14">
        <f t="shared" si="16"/>
        <v>992.01738527214513</v>
      </c>
      <c r="M107" s="14">
        <f t="shared" si="23"/>
        <v>-2.6147278548478425E-3</v>
      </c>
      <c r="N107" s="14">
        <f t="shared" si="17"/>
        <v>63.846153846153854</v>
      </c>
      <c r="O107" s="14">
        <f t="shared" si="18"/>
        <v>287.30769230769232</v>
      </c>
      <c r="P107">
        <f t="shared" si="19"/>
        <v>11.49</v>
      </c>
      <c r="Q107" s="14">
        <f t="shared" si="20"/>
        <v>298.79769230769233</v>
      </c>
      <c r="R107" s="14">
        <f t="shared" si="21"/>
        <v>-2.3076923076814637E-3</v>
      </c>
    </row>
    <row r="108" spans="1:18" ht="14.25" customHeight="1">
      <c r="A108" s="4">
        <v>8015</v>
      </c>
      <c r="B108" s="3" t="s">
        <v>4</v>
      </c>
      <c r="C108" s="10" t="s">
        <v>5</v>
      </c>
      <c r="D108" s="5">
        <v>298.8</v>
      </c>
      <c r="E108" s="10">
        <v>992.02</v>
      </c>
      <c r="F108" t="s">
        <v>14</v>
      </c>
      <c r="G108">
        <v>0.18</v>
      </c>
      <c r="H108">
        <v>0.74</v>
      </c>
      <c r="I108" s="14">
        <f t="shared" si="22"/>
        <v>52.935965848452511</v>
      </c>
      <c r="J108" s="14">
        <f t="shared" si="14"/>
        <v>952.84738527214517</v>
      </c>
      <c r="K108">
        <f t="shared" si="15"/>
        <v>39.17</v>
      </c>
      <c r="L108" s="14">
        <f t="shared" si="16"/>
        <v>992.01738527214513</v>
      </c>
      <c r="M108" s="14">
        <f t="shared" si="23"/>
        <v>-2.6147278548478425E-3</v>
      </c>
      <c r="N108" s="14">
        <f t="shared" si="17"/>
        <v>63.846153846153854</v>
      </c>
      <c r="O108" s="14">
        <f t="shared" si="18"/>
        <v>287.30769230769232</v>
      </c>
      <c r="P108">
        <f t="shared" si="19"/>
        <v>11.49</v>
      </c>
      <c r="Q108" s="14">
        <f t="shared" si="20"/>
        <v>298.79769230769233</v>
      </c>
      <c r="R108" s="14">
        <f t="shared" si="21"/>
        <v>-2.3076923076814637E-3</v>
      </c>
    </row>
    <row r="109" spans="1:18" ht="14.25" customHeight="1">
      <c r="A109" s="4">
        <v>8016</v>
      </c>
      <c r="B109" s="3" t="s">
        <v>4</v>
      </c>
      <c r="C109" s="10" t="s">
        <v>5</v>
      </c>
      <c r="D109" s="5">
        <v>298.8</v>
      </c>
      <c r="E109" s="10">
        <v>992.02</v>
      </c>
      <c r="F109" t="s">
        <v>14</v>
      </c>
      <c r="G109">
        <v>0.18</v>
      </c>
      <c r="H109">
        <v>0.74</v>
      </c>
      <c r="I109" s="14">
        <f t="shared" si="22"/>
        <v>52.935965848452511</v>
      </c>
      <c r="J109" s="14">
        <f t="shared" si="14"/>
        <v>952.84738527214517</v>
      </c>
      <c r="K109">
        <f t="shared" si="15"/>
        <v>39.17</v>
      </c>
      <c r="L109" s="14">
        <f t="shared" si="16"/>
        <v>992.01738527214513</v>
      </c>
      <c r="M109" s="14">
        <f t="shared" si="23"/>
        <v>-2.6147278548478425E-3</v>
      </c>
      <c r="N109" s="14">
        <f t="shared" si="17"/>
        <v>63.846153846153854</v>
      </c>
      <c r="O109" s="14">
        <f t="shared" si="18"/>
        <v>287.30769230769232</v>
      </c>
      <c r="P109">
        <f t="shared" si="19"/>
        <v>11.49</v>
      </c>
      <c r="Q109" s="14">
        <f t="shared" si="20"/>
        <v>298.79769230769233</v>
      </c>
      <c r="R109" s="14">
        <f t="shared" si="21"/>
        <v>-2.3076923076814637E-3</v>
      </c>
    </row>
    <row r="110" spans="1:18" ht="14.25" customHeight="1">
      <c r="A110" s="4">
        <v>8017</v>
      </c>
      <c r="B110" s="3" t="s">
        <v>4</v>
      </c>
      <c r="C110" s="10" t="s">
        <v>5</v>
      </c>
      <c r="D110" s="5">
        <v>298.8</v>
      </c>
      <c r="E110" s="10">
        <v>992.02</v>
      </c>
      <c r="F110" t="s">
        <v>14</v>
      </c>
      <c r="G110">
        <v>0.25</v>
      </c>
      <c r="H110">
        <v>1</v>
      </c>
      <c r="I110" s="14">
        <f t="shared" si="22"/>
        <v>52.211578947368423</v>
      </c>
      <c r="J110" s="14">
        <f t="shared" si="14"/>
        <v>939.80842105263162</v>
      </c>
      <c r="K110">
        <f t="shared" si="15"/>
        <v>52.21</v>
      </c>
      <c r="L110" s="14">
        <f t="shared" si="16"/>
        <v>992.01842105263165</v>
      </c>
      <c r="M110" s="14">
        <f t="shared" si="23"/>
        <v>-1.5789473683298638E-3</v>
      </c>
      <c r="N110" s="14">
        <f t="shared" si="17"/>
        <v>62.905263157894737</v>
      </c>
      <c r="O110" s="14">
        <f t="shared" si="18"/>
        <v>283.07368421052632</v>
      </c>
      <c r="P110">
        <f t="shared" si="19"/>
        <v>15.73</v>
      </c>
      <c r="Q110" s="14">
        <f t="shared" si="20"/>
        <v>298.80368421052634</v>
      </c>
      <c r="R110" s="14">
        <f t="shared" si="21"/>
        <v>3.6842105263303893E-3</v>
      </c>
    </row>
    <row r="111" spans="1:18" ht="14.25" customHeight="1">
      <c r="A111" s="4">
        <v>8019</v>
      </c>
      <c r="B111" s="3" t="s">
        <v>4</v>
      </c>
      <c r="C111" s="10" t="s">
        <v>5</v>
      </c>
      <c r="D111" s="5">
        <v>298.8</v>
      </c>
      <c r="E111" s="10">
        <v>992.02</v>
      </c>
      <c r="F111" t="s">
        <v>14</v>
      </c>
      <c r="G111">
        <v>0.18</v>
      </c>
      <c r="H111">
        <v>0.74</v>
      </c>
      <c r="I111" s="14">
        <f t="shared" si="22"/>
        <v>52.935965848452511</v>
      </c>
      <c r="J111" s="14">
        <f t="shared" si="14"/>
        <v>952.84738527214517</v>
      </c>
      <c r="K111">
        <f t="shared" si="15"/>
        <v>39.17</v>
      </c>
      <c r="L111" s="14">
        <f t="shared" si="16"/>
        <v>992.01738527214513</v>
      </c>
      <c r="M111" s="14">
        <f t="shared" si="23"/>
        <v>-2.6147278548478425E-3</v>
      </c>
      <c r="N111" s="14">
        <f t="shared" si="17"/>
        <v>63.846153846153854</v>
      </c>
      <c r="O111" s="14">
        <f t="shared" si="18"/>
        <v>287.30769230769232</v>
      </c>
      <c r="P111">
        <f t="shared" si="19"/>
        <v>11.49</v>
      </c>
      <c r="Q111" s="14">
        <f t="shared" si="20"/>
        <v>298.79769230769233</v>
      </c>
      <c r="R111" s="14">
        <f t="shared" si="21"/>
        <v>-2.3076923076814637E-3</v>
      </c>
    </row>
    <row r="112" spans="1:18" ht="14.25" customHeight="1">
      <c r="A112" s="4">
        <v>8022</v>
      </c>
      <c r="B112" s="6" t="s">
        <v>4</v>
      </c>
      <c r="C112" s="11" t="s">
        <v>5</v>
      </c>
      <c r="D112" s="7">
        <v>298.8</v>
      </c>
      <c r="E112" s="11">
        <v>992.02</v>
      </c>
      <c r="F112" t="s">
        <v>14</v>
      </c>
      <c r="G112">
        <v>0.18</v>
      </c>
      <c r="H112">
        <v>0.74</v>
      </c>
      <c r="I112" s="14">
        <f t="shared" si="22"/>
        <v>52.935965848452511</v>
      </c>
      <c r="J112" s="14">
        <f t="shared" si="14"/>
        <v>952.84738527214517</v>
      </c>
      <c r="K112">
        <f t="shared" si="15"/>
        <v>39.17</v>
      </c>
      <c r="L112" s="14">
        <f t="shared" si="16"/>
        <v>992.01738527214513</v>
      </c>
      <c r="M112" s="14">
        <f t="shared" si="23"/>
        <v>-2.6147278548478425E-3</v>
      </c>
      <c r="N112" s="14">
        <f t="shared" si="17"/>
        <v>63.846153846153854</v>
      </c>
      <c r="O112" s="14">
        <f t="shared" si="18"/>
        <v>287.30769230769232</v>
      </c>
      <c r="P112">
        <f t="shared" si="19"/>
        <v>11.49</v>
      </c>
      <c r="Q112" s="14">
        <f t="shared" si="20"/>
        <v>298.79769230769233</v>
      </c>
      <c r="R112" s="14">
        <f t="shared" si="21"/>
        <v>-2.3076923076814637E-3</v>
      </c>
    </row>
    <row r="113" spans="1:18" ht="14.25" customHeight="1">
      <c r="A113" s="4">
        <v>8023</v>
      </c>
      <c r="B113" s="3" t="s">
        <v>6</v>
      </c>
      <c r="C113" s="10" t="s">
        <v>7</v>
      </c>
      <c r="D113" s="5">
        <v>351.9</v>
      </c>
      <c r="E113" s="10">
        <v>1168.31</v>
      </c>
      <c r="F113" t="s">
        <v>14</v>
      </c>
      <c r="G113">
        <v>0.37</v>
      </c>
      <c r="H113">
        <v>1.49</v>
      </c>
      <c r="I113" s="14">
        <f t="shared" si="22"/>
        <v>59.9440738840431</v>
      </c>
      <c r="J113" s="14">
        <f t="shared" si="14"/>
        <v>1078.9933299127758</v>
      </c>
      <c r="K113">
        <f t="shared" si="15"/>
        <v>89.32</v>
      </c>
      <c r="L113" s="14">
        <f t="shared" si="16"/>
        <v>1168.3133299127758</v>
      </c>
      <c r="M113" s="14">
        <f t="shared" si="23"/>
        <v>3.3299127758255054E-3</v>
      </c>
      <c r="N113" s="14">
        <f t="shared" si="17"/>
        <v>72.258726899383973</v>
      </c>
      <c r="O113" s="14">
        <f t="shared" si="18"/>
        <v>325.16427104722788</v>
      </c>
      <c r="P113">
        <f t="shared" si="19"/>
        <v>26.74</v>
      </c>
      <c r="Q113" s="14">
        <f t="shared" si="20"/>
        <v>351.90427104722789</v>
      </c>
      <c r="R113" s="14">
        <f t="shared" si="21"/>
        <v>4.2710472279168243E-3</v>
      </c>
    </row>
    <row r="114" spans="1:18" ht="14.25" customHeight="1">
      <c r="A114" s="4">
        <v>8028</v>
      </c>
      <c r="B114" s="3" t="s">
        <v>4</v>
      </c>
      <c r="C114" s="10" t="s">
        <v>5</v>
      </c>
      <c r="D114" s="5">
        <v>298.8</v>
      </c>
      <c r="E114" s="10">
        <v>992.02</v>
      </c>
      <c r="F114" t="s">
        <v>14</v>
      </c>
      <c r="G114">
        <v>0.18</v>
      </c>
      <c r="H114">
        <v>0.74</v>
      </c>
      <c r="I114" s="14">
        <f t="shared" si="22"/>
        <v>52.935965848452511</v>
      </c>
      <c r="J114" s="14">
        <f t="shared" si="14"/>
        <v>952.84738527214517</v>
      </c>
      <c r="K114">
        <f t="shared" si="15"/>
        <v>39.17</v>
      </c>
      <c r="L114" s="14">
        <f t="shared" si="16"/>
        <v>992.01738527214513</v>
      </c>
      <c r="M114" s="14">
        <f t="shared" si="23"/>
        <v>-2.6147278548478425E-3</v>
      </c>
      <c r="N114" s="14">
        <f t="shared" si="17"/>
        <v>63.846153846153854</v>
      </c>
      <c r="O114" s="14">
        <f t="shared" si="18"/>
        <v>287.30769230769232</v>
      </c>
      <c r="P114">
        <f t="shared" si="19"/>
        <v>11.49</v>
      </c>
      <c r="Q114" s="14">
        <f t="shared" si="20"/>
        <v>298.79769230769233</v>
      </c>
      <c r="R114" s="14">
        <f t="shared" si="21"/>
        <v>-2.3076923076814637E-3</v>
      </c>
    </row>
    <row r="115" spans="1:18" ht="14.25" customHeight="1">
      <c r="A115" s="4">
        <v>9001</v>
      </c>
      <c r="B115" s="3" t="s">
        <v>6</v>
      </c>
      <c r="C115" s="10" t="s">
        <v>7</v>
      </c>
      <c r="D115" s="5">
        <v>351.9</v>
      </c>
      <c r="E115" s="10">
        <v>1168.31</v>
      </c>
      <c r="F115" t="s">
        <v>12</v>
      </c>
      <c r="G115">
        <v>0.01</v>
      </c>
      <c r="H115">
        <v>0.06</v>
      </c>
      <c r="I115" s="14">
        <f t="shared" si="22"/>
        <v>64.69047619047619</v>
      </c>
      <c r="J115" s="14">
        <f t="shared" si="14"/>
        <v>1164.4285714285713</v>
      </c>
      <c r="K115">
        <f t="shared" si="15"/>
        <v>3.88</v>
      </c>
      <c r="L115" s="14">
        <f t="shared" si="16"/>
        <v>1168.3085714285714</v>
      </c>
      <c r="M115" s="14">
        <f t="shared" si="23"/>
        <v>-1.4285714285051654E-3</v>
      </c>
      <c r="N115" s="14">
        <f t="shared" si="17"/>
        <v>78.026607538802665</v>
      </c>
      <c r="O115" s="14">
        <f t="shared" si="18"/>
        <v>351.11973392461198</v>
      </c>
      <c r="P115">
        <f t="shared" si="19"/>
        <v>0.78</v>
      </c>
      <c r="Q115" s="14">
        <f t="shared" si="20"/>
        <v>351.89973392461195</v>
      </c>
      <c r="R115" s="14">
        <f t="shared" si="21"/>
        <v>-2.6607538802636554E-4</v>
      </c>
    </row>
    <row r="116" spans="1:18" ht="14.25" customHeight="1">
      <c r="A116" s="4">
        <v>9002</v>
      </c>
      <c r="B116" s="3" t="s">
        <v>6</v>
      </c>
      <c r="C116" s="10" t="s">
        <v>7</v>
      </c>
      <c r="D116" s="5">
        <v>351.9</v>
      </c>
      <c r="E116" s="10">
        <v>1168.31</v>
      </c>
      <c r="F116" t="s">
        <v>12</v>
      </c>
      <c r="G116">
        <v>0.01</v>
      </c>
      <c r="H116">
        <v>0.04</v>
      </c>
      <c r="I116" s="14">
        <f t="shared" si="22"/>
        <v>64.762195121951223</v>
      </c>
      <c r="J116" s="14">
        <f t="shared" si="14"/>
        <v>1165.719512195122</v>
      </c>
      <c r="K116">
        <f t="shared" si="15"/>
        <v>2.59</v>
      </c>
      <c r="L116" s="14">
        <f t="shared" si="16"/>
        <v>1168.3095121951219</v>
      </c>
      <c r="M116" s="14">
        <f t="shared" si="23"/>
        <v>-4.8780487804833683E-4</v>
      </c>
      <c r="N116" s="14">
        <f t="shared" si="17"/>
        <v>78.026607538802665</v>
      </c>
      <c r="O116" s="14">
        <f t="shared" si="18"/>
        <v>351.11973392461198</v>
      </c>
      <c r="P116">
        <f t="shared" si="19"/>
        <v>0.78</v>
      </c>
      <c r="Q116" s="14">
        <f t="shared" si="20"/>
        <v>351.89973392461195</v>
      </c>
      <c r="R116" s="14">
        <f t="shared" si="21"/>
        <v>-2.6607538802636554E-4</v>
      </c>
    </row>
    <row r="117" spans="1:18" ht="14.25" customHeight="1">
      <c r="A117" s="4">
        <v>9003</v>
      </c>
      <c r="B117" s="3" t="s">
        <v>6</v>
      </c>
      <c r="C117" s="10" t="s">
        <v>7</v>
      </c>
      <c r="D117" s="5">
        <v>351.9</v>
      </c>
      <c r="E117" s="10">
        <v>1168.31</v>
      </c>
      <c r="F117" t="s">
        <v>12</v>
      </c>
      <c r="G117">
        <v>0</v>
      </c>
      <c r="H117">
        <v>0.02</v>
      </c>
      <c r="I117" s="14">
        <f t="shared" si="22"/>
        <v>64.834073251942286</v>
      </c>
      <c r="J117" s="14">
        <f t="shared" si="14"/>
        <v>1167.0133185349612</v>
      </c>
      <c r="K117">
        <f t="shared" si="15"/>
        <v>1.3</v>
      </c>
      <c r="L117" s="14">
        <f t="shared" si="16"/>
        <v>1168.3133185349611</v>
      </c>
      <c r="M117" s="14">
        <f t="shared" si="23"/>
        <v>3.3185349611812853E-3</v>
      </c>
      <c r="N117" s="14">
        <f t="shared" si="17"/>
        <v>78.199999999999989</v>
      </c>
      <c r="O117" s="14">
        <f t="shared" si="18"/>
        <v>351.9</v>
      </c>
      <c r="P117">
        <f t="shared" si="19"/>
        <v>0</v>
      </c>
      <c r="Q117" s="14">
        <f t="shared" si="20"/>
        <v>351.9</v>
      </c>
      <c r="R117" s="14">
        <f t="shared" si="21"/>
        <v>0</v>
      </c>
    </row>
    <row r="118" spans="1:18" ht="14.25" customHeight="1">
      <c r="A118" s="4">
        <v>9004</v>
      </c>
      <c r="B118" s="3" t="s">
        <v>4</v>
      </c>
      <c r="C118" s="10" t="s">
        <v>5</v>
      </c>
      <c r="D118" s="5">
        <v>298.8</v>
      </c>
      <c r="E118" s="10">
        <v>992.02</v>
      </c>
      <c r="F118" t="s">
        <v>14</v>
      </c>
      <c r="G118">
        <v>0.18</v>
      </c>
      <c r="H118">
        <v>0.74</v>
      </c>
      <c r="I118" s="14">
        <f t="shared" si="22"/>
        <v>52.935965848452511</v>
      </c>
      <c r="J118" s="14">
        <f t="shared" si="14"/>
        <v>952.84738527214517</v>
      </c>
      <c r="K118">
        <f t="shared" si="15"/>
        <v>39.17</v>
      </c>
      <c r="L118" s="14">
        <f t="shared" si="16"/>
        <v>992.01738527214513</v>
      </c>
      <c r="M118" s="14">
        <f t="shared" si="23"/>
        <v>-2.6147278548478425E-3</v>
      </c>
      <c r="N118" s="14">
        <f t="shared" si="17"/>
        <v>63.846153846153854</v>
      </c>
      <c r="O118" s="14">
        <f t="shared" si="18"/>
        <v>287.30769230769232</v>
      </c>
      <c r="P118">
        <f t="shared" si="19"/>
        <v>11.49</v>
      </c>
      <c r="Q118" s="14">
        <f t="shared" si="20"/>
        <v>298.79769230769233</v>
      </c>
      <c r="R118" s="14">
        <f t="shared" si="21"/>
        <v>-2.3076923076814637E-3</v>
      </c>
    </row>
    <row r="119" spans="1:18" ht="14.25" customHeight="1">
      <c r="A119" s="4">
        <v>9005</v>
      </c>
      <c r="B119" s="3" t="s">
        <v>4</v>
      </c>
      <c r="C119" s="10" t="s">
        <v>5</v>
      </c>
      <c r="D119" s="5">
        <v>298.8</v>
      </c>
      <c r="E119" s="10">
        <v>992.02</v>
      </c>
      <c r="F119" t="s">
        <v>14</v>
      </c>
      <c r="G119">
        <v>0.22</v>
      </c>
      <c r="H119">
        <v>0.86</v>
      </c>
      <c r="I119" s="14">
        <f t="shared" si="22"/>
        <v>52.599151643690348</v>
      </c>
      <c r="J119" s="14">
        <f t="shared" si="14"/>
        <v>946.78472958642624</v>
      </c>
      <c r="K119">
        <f t="shared" si="15"/>
        <v>45.24</v>
      </c>
      <c r="L119" s="14">
        <f t="shared" si="16"/>
        <v>992.02472958642625</v>
      </c>
      <c r="M119" s="14">
        <f t="shared" si="23"/>
        <v>4.7295864262650866E-3</v>
      </c>
      <c r="N119" s="14">
        <f t="shared" si="17"/>
        <v>63.30508474576272</v>
      </c>
      <c r="O119" s="14">
        <f t="shared" si="18"/>
        <v>284.87288135593224</v>
      </c>
      <c r="P119">
        <f t="shared" si="19"/>
        <v>13.93</v>
      </c>
      <c r="Q119" s="14">
        <f t="shared" si="20"/>
        <v>298.80288135593224</v>
      </c>
      <c r="R119" s="14">
        <f t="shared" si="21"/>
        <v>2.8813559322315996E-3</v>
      </c>
    </row>
    <row r="120" spans="1:18" ht="14.25" customHeight="1">
      <c r="A120" s="4">
        <v>9010</v>
      </c>
      <c r="B120" s="3" t="s">
        <v>6</v>
      </c>
      <c r="C120" s="10" t="s">
        <v>7</v>
      </c>
      <c r="D120" s="5">
        <v>351.9</v>
      </c>
      <c r="E120" s="10">
        <v>1168.31</v>
      </c>
      <c r="F120" t="s">
        <v>12</v>
      </c>
      <c r="G120">
        <v>0</v>
      </c>
      <c r="H120">
        <v>0.02</v>
      </c>
      <c r="I120" s="14">
        <f t="shared" si="22"/>
        <v>64.834073251942286</v>
      </c>
      <c r="J120" s="14">
        <f t="shared" si="14"/>
        <v>1167.0133185349612</v>
      </c>
      <c r="K120">
        <f t="shared" si="15"/>
        <v>1.3</v>
      </c>
      <c r="L120" s="14">
        <f t="shared" si="16"/>
        <v>1168.3133185349611</v>
      </c>
      <c r="M120" s="14">
        <f t="shared" si="23"/>
        <v>3.3185349611812853E-3</v>
      </c>
      <c r="N120" s="14">
        <f t="shared" si="17"/>
        <v>78.199999999999989</v>
      </c>
      <c r="O120" s="14">
        <f t="shared" si="18"/>
        <v>351.9</v>
      </c>
      <c r="P120">
        <f t="shared" si="19"/>
        <v>0</v>
      </c>
      <c r="Q120" s="14">
        <f t="shared" si="20"/>
        <v>351.9</v>
      </c>
      <c r="R120" s="14">
        <f t="shared" si="21"/>
        <v>0</v>
      </c>
    </row>
    <row r="121" spans="1:18" ht="14.25" customHeight="1">
      <c r="A121" s="4">
        <v>9011</v>
      </c>
      <c r="B121" s="3" t="s">
        <v>4</v>
      </c>
      <c r="C121" s="10" t="s">
        <v>5</v>
      </c>
      <c r="D121" s="5">
        <v>298.8</v>
      </c>
      <c r="E121" s="10">
        <v>992.02</v>
      </c>
      <c r="F121" t="s">
        <v>14</v>
      </c>
      <c r="G121">
        <v>0.28000000000000003</v>
      </c>
      <c r="H121">
        <v>1.1299999999999999</v>
      </c>
      <c r="I121" s="14">
        <f t="shared" si="22"/>
        <v>51.856769472033456</v>
      </c>
      <c r="J121" s="14">
        <f t="shared" si="14"/>
        <v>933.42185049660225</v>
      </c>
      <c r="K121">
        <f t="shared" si="15"/>
        <v>58.6</v>
      </c>
      <c r="L121" s="14">
        <f t="shared" si="16"/>
        <v>992.02185049660227</v>
      </c>
      <c r="M121" s="14">
        <f t="shared" si="23"/>
        <v>1.8504966022874214E-3</v>
      </c>
      <c r="N121" s="14">
        <f t="shared" si="17"/>
        <v>62.510460251046027</v>
      </c>
      <c r="O121" s="14">
        <f t="shared" si="18"/>
        <v>281.29707112970709</v>
      </c>
      <c r="P121">
        <f t="shared" si="19"/>
        <v>17.5</v>
      </c>
      <c r="Q121" s="14">
        <f t="shared" si="20"/>
        <v>298.79707112970709</v>
      </c>
      <c r="R121" s="14">
        <f t="shared" si="21"/>
        <v>-2.9288702929193278E-3</v>
      </c>
    </row>
    <row r="122" spans="1:18" ht="14.25" customHeight="1">
      <c r="A122" s="4">
        <v>9016</v>
      </c>
      <c r="B122" s="3" t="s">
        <v>6</v>
      </c>
      <c r="C122" s="10" t="s">
        <v>7</v>
      </c>
      <c r="D122" s="5">
        <v>351.9</v>
      </c>
      <c r="E122" s="10">
        <v>1168.31</v>
      </c>
      <c r="F122" t="s">
        <v>12</v>
      </c>
      <c r="G122">
        <v>0</v>
      </c>
      <c r="H122">
        <v>0.01</v>
      </c>
      <c r="I122" s="14">
        <f t="shared" si="22"/>
        <v>64.870072182121035</v>
      </c>
      <c r="J122" s="14">
        <f t="shared" si="14"/>
        <v>1167.6612992781786</v>
      </c>
      <c r="K122">
        <f t="shared" si="15"/>
        <v>0.65</v>
      </c>
      <c r="L122" s="14">
        <f t="shared" si="16"/>
        <v>1168.3112992781787</v>
      </c>
      <c r="M122" s="14">
        <f t="shared" si="23"/>
        <v>1.2992781787488639E-3</v>
      </c>
      <c r="N122" s="14">
        <f t="shared" si="17"/>
        <v>78.199999999999989</v>
      </c>
      <c r="O122" s="14">
        <f t="shared" si="18"/>
        <v>351.9</v>
      </c>
      <c r="P122">
        <f t="shared" si="19"/>
        <v>0</v>
      </c>
      <c r="Q122" s="14">
        <f t="shared" si="20"/>
        <v>351.9</v>
      </c>
      <c r="R122" s="14">
        <f t="shared" si="21"/>
        <v>0</v>
      </c>
    </row>
    <row r="123" spans="1:18" ht="14.25" customHeight="1">
      <c r="A123" s="4">
        <v>9017</v>
      </c>
      <c r="B123" s="3" t="s">
        <v>4</v>
      </c>
      <c r="C123" s="10" t="s">
        <v>5</v>
      </c>
      <c r="D123" s="5">
        <v>298.8</v>
      </c>
      <c r="E123" s="10">
        <v>992.02</v>
      </c>
      <c r="F123" t="s">
        <v>14</v>
      </c>
      <c r="G123">
        <v>0.22</v>
      </c>
      <c r="H123">
        <v>0.86</v>
      </c>
      <c r="I123" s="14">
        <f t="shared" si="22"/>
        <v>52.599151643690348</v>
      </c>
      <c r="J123" s="14">
        <f t="shared" si="14"/>
        <v>946.78472958642624</v>
      </c>
      <c r="K123">
        <f t="shared" si="15"/>
        <v>45.24</v>
      </c>
      <c r="L123" s="14">
        <f t="shared" si="16"/>
        <v>992.02472958642625</v>
      </c>
      <c r="M123" s="14">
        <f t="shared" si="23"/>
        <v>4.7295864262650866E-3</v>
      </c>
      <c r="N123" s="14">
        <f t="shared" si="17"/>
        <v>63.30508474576272</v>
      </c>
      <c r="O123" s="14">
        <f t="shared" si="18"/>
        <v>284.87288135593224</v>
      </c>
      <c r="P123">
        <f t="shared" si="19"/>
        <v>13.93</v>
      </c>
      <c r="Q123" s="14">
        <f t="shared" si="20"/>
        <v>298.80288135593224</v>
      </c>
      <c r="R123" s="14">
        <f t="shared" si="21"/>
        <v>2.8813559322315996E-3</v>
      </c>
    </row>
  </sheetData>
  <mergeCells count="1">
    <mergeCell ref="A3:E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7FC1D-7239-4070-9621-EED4F3A6DACD}">
  <dimension ref="A1:R123"/>
  <sheetViews>
    <sheetView tabSelected="1" workbookViewId="0">
      <selection activeCell="G2" sqref="G2"/>
    </sheetView>
  </sheetViews>
  <sheetFormatPr defaultRowHeight="13.2"/>
  <cols>
    <col min="1" max="1" width="19.77734375" customWidth="1"/>
    <col min="2" max="2" width="27" customWidth="1"/>
    <col min="3" max="3" width="15.77734375" style="12" customWidth="1"/>
    <col min="4" max="4" width="15.109375" customWidth="1"/>
    <col min="5" max="5" width="15.44140625" style="12" customWidth="1"/>
    <col min="9" max="9" width="16.88671875" customWidth="1"/>
    <col min="10" max="10" width="18.44140625" bestFit="1" customWidth="1"/>
    <col min="11" max="11" width="14.88671875" bestFit="1" customWidth="1"/>
    <col min="12" max="12" width="11" bestFit="1" customWidth="1"/>
    <col min="14" max="14" width="12.33203125" bestFit="1" customWidth="1"/>
    <col min="15" max="15" width="18.33203125" bestFit="1" customWidth="1"/>
    <col min="16" max="16" width="14.88671875" bestFit="1" customWidth="1"/>
    <col min="17" max="18" width="9.5546875" bestFit="1" customWidth="1"/>
  </cols>
  <sheetData>
    <row r="1" spans="1:18" ht="26.4">
      <c r="A1" s="18" t="s">
        <v>29</v>
      </c>
      <c r="C1" s="17" t="s">
        <v>26</v>
      </c>
      <c r="D1" s="17" t="s">
        <v>27</v>
      </c>
      <c r="E1" s="17" t="s">
        <v>30</v>
      </c>
      <c r="G1" t="s">
        <v>32</v>
      </c>
      <c r="H1" t="s">
        <v>33</v>
      </c>
      <c r="I1" s="19" t="s">
        <v>35</v>
      </c>
      <c r="J1" s="19" t="s">
        <v>36</v>
      </c>
      <c r="K1" s="19" t="s">
        <v>37</v>
      </c>
      <c r="N1" s="19" t="s">
        <v>38</v>
      </c>
      <c r="O1" s="19" t="s">
        <v>39</v>
      </c>
      <c r="P1" s="19" t="s">
        <v>40</v>
      </c>
    </row>
    <row r="2" spans="1:18" ht="67.5" customHeight="1">
      <c r="A2" s="1" t="s">
        <v>0</v>
      </c>
      <c r="B2" s="2" t="s">
        <v>1</v>
      </c>
      <c r="C2" s="17" t="s">
        <v>28</v>
      </c>
      <c r="D2" s="17" t="s">
        <v>31</v>
      </c>
      <c r="E2" s="9" t="s">
        <v>2</v>
      </c>
      <c r="G2" s="16" t="s">
        <v>24</v>
      </c>
      <c r="H2" s="16" t="s">
        <v>25</v>
      </c>
      <c r="I2" s="8" t="s">
        <v>34</v>
      </c>
      <c r="J2" s="8" t="s">
        <v>17</v>
      </c>
      <c r="K2" s="8" t="s">
        <v>18</v>
      </c>
      <c r="L2" s="15" t="s">
        <v>19</v>
      </c>
      <c r="M2" s="15" t="s">
        <v>20</v>
      </c>
      <c r="N2" s="8" t="s">
        <v>21</v>
      </c>
      <c r="O2" s="8" t="s">
        <v>22</v>
      </c>
      <c r="P2" s="8" t="s">
        <v>23</v>
      </c>
      <c r="Q2" s="15" t="s">
        <v>19</v>
      </c>
      <c r="R2" s="15" t="s">
        <v>20</v>
      </c>
    </row>
    <row r="3" spans="1:18" ht="14.25" customHeight="1">
      <c r="A3" s="20" t="s">
        <v>3</v>
      </c>
      <c r="B3" s="21"/>
      <c r="C3" s="21"/>
      <c r="D3" s="21"/>
      <c r="E3" s="22"/>
      <c r="G3" t="s">
        <v>15</v>
      </c>
      <c r="H3" t="s">
        <v>16</v>
      </c>
    </row>
    <row r="4" spans="1:18" ht="14.25" customHeight="1">
      <c r="A4" s="4">
        <v>1001</v>
      </c>
      <c r="B4" s="3" t="s">
        <v>4</v>
      </c>
      <c r="C4" s="10">
        <v>66.400000000000006</v>
      </c>
      <c r="D4" s="5">
        <v>298.8</v>
      </c>
      <c r="E4" s="13">
        <v>992.02</v>
      </c>
      <c r="F4" t="s">
        <v>10</v>
      </c>
      <c r="G4">
        <v>0.08</v>
      </c>
      <c r="H4">
        <v>0.31</v>
      </c>
      <c r="I4" s="14">
        <f t="shared" ref="I4:I67" si="0">+E4/(18+H4)</f>
        <v>54.179137083560896</v>
      </c>
      <c r="J4" s="14">
        <f>18*I4</f>
        <v>975.22446750409608</v>
      </c>
      <c r="K4">
        <f>+ROUND(I4*H4,2)</f>
        <v>16.8</v>
      </c>
      <c r="L4" s="14">
        <f>+J4+K4</f>
        <v>992.02446750409604</v>
      </c>
      <c r="M4" s="14">
        <f t="shared" ref="M4:M67" si="1">+L4-E4</f>
        <v>4.4675040960555634E-3</v>
      </c>
      <c r="N4" s="14">
        <f>+D4/(4.5+G4)</f>
        <v>65.24017467248909</v>
      </c>
      <c r="O4" s="14">
        <f>4.5*N4</f>
        <v>293.58078602620088</v>
      </c>
      <c r="P4">
        <f>+ROUND(G4*N4,2)</f>
        <v>5.22</v>
      </c>
      <c r="Q4" s="14">
        <f>+O4+P4</f>
        <v>298.80078602620091</v>
      </c>
      <c r="R4" s="14">
        <f>+Q4-D4</f>
        <v>7.8602620089895936E-4</v>
      </c>
    </row>
    <row r="5" spans="1:18" ht="14.25" customHeight="1">
      <c r="A5" s="4">
        <v>1002</v>
      </c>
      <c r="B5" s="3" t="s">
        <v>6</v>
      </c>
      <c r="C5" s="10" t="s">
        <v>7</v>
      </c>
      <c r="D5" s="5">
        <v>351.9</v>
      </c>
      <c r="E5" s="10">
        <v>1168.31</v>
      </c>
      <c r="F5" t="s">
        <v>10</v>
      </c>
      <c r="G5">
        <v>0.17</v>
      </c>
      <c r="H5">
        <v>0.68</v>
      </c>
      <c r="I5" s="14">
        <f t="shared" si="0"/>
        <v>62.543361884368309</v>
      </c>
      <c r="J5" s="14">
        <f t="shared" ref="J5:J68" si="2">18*I5</f>
        <v>1125.7805139186296</v>
      </c>
      <c r="K5">
        <f t="shared" ref="K5:K68" si="3">+ROUND(I5*H5,2)</f>
        <v>42.53</v>
      </c>
      <c r="L5" s="14">
        <f t="shared" ref="L5:L68" si="4">+J5+K5</f>
        <v>1168.3105139186296</v>
      </c>
      <c r="M5" s="14">
        <f t="shared" si="1"/>
        <v>5.1391862962191226E-4</v>
      </c>
      <c r="N5" s="14">
        <f t="shared" ref="N5:N68" si="5">+D5/(4.5+G5)</f>
        <v>75.353319057815838</v>
      </c>
      <c r="O5" s="14">
        <f t="shared" ref="O5:O68" si="6">4.5*N5</f>
        <v>339.08993576017127</v>
      </c>
      <c r="P5">
        <f t="shared" ref="P5:P68" si="7">+ROUND(G5*N5,2)</f>
        <v>12.81</v>
      </c>
      <c r="Q5" s="14">
        <f t="shared" ref="Q5:Q68" si="8">+O5+P5</f>
        <v>351.89993576017127</v>
      </c>
      <c r="R5" s="14">
        <f t="shared" ref="R5:R68" si="9">+Q5-D5</f>
        <v>-6.4239828702739032E-5</v>
      </c>
    </row>
    <row r="6" spans="1:18" ht="14.25" customHeight="1">
      <c r="A6" s="4">
        <v>1003</v>
      </c>
      <c r="B6" s="3" t="s">
        <v>8</v>
      </c>
      <c r="C6" s="10" t="s">
        <v>9</v>
      </c>
      <c r="D6" s="5">
        <v>423.45</v>
      </c>
      <c r="E6" s="10">
        <v>1405.85</v>
      </c>
      <c r="F6" t="s">
        <v>11</v>
      </c>
      <c r="G6">
        <v>0.21</v>
      </c>
      <c r="H6">
        <v>0.86</v>
      </c>
      <c r="I6" s="14">
        <f t="shared" si="0"/>
        <v>74.54135737009544</v>
      </c>
      <c r="J6" s="14">
        <f t="shared" si="2"/>
        <v>1341.7444326617178</v>
      </c>
      <c r="K6">
        <f t="shared" si="3"/>
        <v>64.11</v>
      </c>
      <c r="L6" s="14">
        <f t="shared" si="4"/>
        <v>1405.8544326617177</v>
      </c>
      <c r="M6" s="14">
        <f t="shared" si="1"/>
        <v>4.4326617178285233E-3</v>
      </c>
      <c r="N6" s="14">
        <f t="shared" si="5"/>
        <v>89.904458598726109</v>
      </c>
      <c r="O6" s="14">
        <f t="shared" si="6"/>
        <v>404.5700636942675</v>
      </c>
      <c r="P6">
        <f t="shared" si="7"/>
        <v>18.88</v>
      </c>
      <c r="Q6" s="14">
        <f t="shared" si="8"/>
        <v>423.4500636942675</v>
      </c>
      <c r="R6" s="14">
        <f t="shared" si="9"/>
        <v>6.3694267510072677E-5</v>
      </c>
    </row>
    <row r="7" spans="1:18" ht="14.25" customHeight="1">
      <c r="A7" s="4">
        <v>1013</v>
      </c>
      <c r="B7" s="3" t="s">
        <v>6</v>
      </c>
      <c r="C7" s="10" t="s">
        <v>7</v>
      </c>
      <c r="D7" s="5">
        <v>351.9</v>
      </c>
      <c r="E7" s="10">
        <v>1168.31</v>
      </c>
      <c r="F7" t="s">
        <v>12</v>
      </c>
      <c r="G7">
        <v>0.03</v>
      </c>
      <c r="H7">
        <v>0.12</v>
      </c>
      <c r="I7" s="14">
        <f t="shared" si="0"/>
        <v>64.476269315673278</v>
      </c>
      <c r="J7" s="14">
        <f t="shared" si="2"/>
        <v>1160.5728476821191</v>
      </c>
      <c r="K7">
        <f t="shared" si="3"/>
        <v>7.74</v>
      </c>
      <c r="L7" s="14">
        <f t="shared" si="4"/>
        <v>1168.3128476821191</v>
      </c>
      <c r="M7" s="14">
        <f t="shared" si="1"/>
        <v>2.8476821191816271E-3</v>
      </c>
      <c r="N7" s="14">
        <f t="shared" si="5"/>
        <v>77.682119205298008</v>
      </c>
      <c r="O7" s="14">
        <f t="shared" si="6"/>
        <v>349.56953642384104</v>
      </c>
      <c r="P7">
        <f t="shared" si="7"/>
        <v>2.33</v>
      </c>
      <c r="Q7" s="14">
        <f t="shared" si="8"/>
        <v>351.89953642384103</v>
      </c>
      <c r="R7" s="14">
        <f t="shared" si="9"/>
        <v>-4.6357615894976334E-4</v>
      </c>
    </row>
    <row r="8" spans="1:18" ht="14.25" customHeight="1">
      <c r="A8" s="4">
        <v>1014</v>
      </c>
      <c r="B8" s="3" t="s">
        <v>6</v>
      </c>
      <c r="C8" s="10" t="s">
        <v>7</v>
      </c>
      <c r="D8" s="5">
        <v>351.9</v>
      </c>
      <c r="E8" s="10">
        <v>1168.31</v>
      </c>
      <c r="F8" t="s">
        <v>12</v>
      </c>
      <c r="G8">
        <v>0.11</v>
      </c>
      <c r="H8">
        <v>0.44</v>
      </c>
      <c r="I8" s="14">
        <f t="shared" si="0"/>
        <v>63.357375271149664</v>
      </c>
      <c r="J8" s="14">
        <f t="shared" si="2"/>
        <v>1140.4327548806939</v>
      </c>
      <c r="K8">
        <f t="shared" si="3"/>
        <v>27.88</v>
      </c>
      <c r="L8" s="14">
        <f t="shared" si="4"/>
        <v>1168.312754880694</v>
      </c>
      <c r="M8" s="14">
        <f t="shared" si="1"/>
        <v>2.7548806940558279E-3</v>
      </c>
      <c r="N8" s="14">
        <f t="shared" si="5"/>
        <v>76.334056399132308</v>
      </c>
      <c r="O8" s="14">
        <f t="shared" si="6"/>
        <v>343.50325379609541</v>
      </c>
      <c r="P8">
        <f t="shared" si="7"/>
        <v>8.4</v>
      </c>
      <c r="Q8" s="14">
        <f t="shared" si="8"/>
        <v>351.90325379609538</v>
      </c>
      <c r="R8" s="14">
        <f t="shared" si="9"/>
        <v>3.2537960954073242E-3</v>
      </c>
    </row>
    <row r="9" spans="1:18" ht="14.25" customHeight="1">
      <c r="A9" s="4">
        <v>1015</v>
      </c>
      <c r="B9" s="3" t="s">
        <v>6</v>
      </c>
      <c r="C9" s="10" t="s">
        <v>7</v>
      </c>
      <c r="D9" s="5">
        <v>351.9</v>
      </c>
      <c r="E9" s="10">
        <v>1168.31</v>
      </c>
      <c r="F9" t="s">
        <v>12</v>
      </c>
      <c r="G9">
        <v>0.04</v>
      </c>
      <c r="H9">
        <v>0.16</v>
      </c>
      <c r="I9" s="14">
        <f t="shared" si="0"/>
        <v>64.334251101321584</v>
      </c>
      <c r="J9" s="14">
        <f t="shared" si="2"/>
        <v>1158.0165198237885</v>
      </c>
      <c r="K9">
        <f t="shared" si="3"/>
        <v>10.29</v>
      </c>
      <c r="L9" s="14">
        <f t="shared" si="4"/>
        <v>1168.3065198237884</v>
      </c>
      <c r="M9" s="14">
        <f t="shared" si="1"/>
        <v>-3.480176211496655E-3</v>
      </c>
      <c r="N9" s="14">
        <f t="shared" si="5"/>
        <v>77.511013215859023</v>
      </c>
      <c r="O9" s="14">
        <f t="shared" si="6"/>
        <v>348.79955947136563</v>
      </c>
      <c r="P9">
        <f t="shared" si="7"/>
        <v>3.1</v>
      </c>
      <c r="Q9" s="14">
        <f t="shared" si="8"/>
        <v>351.89955947136565</v>
      </c>
      <c r="R9" s="14">
        <f t="shared" si="9"/>
        <v>-4.4052863432852973E-4</v>
      </c>
    </row>
    <row r="10" spans="1:18" ht="14.25" customHeight="1">
      <c r="A10" s="4">
        <v>1016</v>
      </c>
      <c r="B10" s="3" t="s">
        <v>6</v>
      </c>
      <c r="C10" s="10" t="s">
        <v>7</v>
      </c>
      <c r="D10" s="5">
        <v>351.9</v>
      </c>
      <c r="E10" s="10">
        <v>1168.31</v>
      </c>
      <c r="F10" t="s">
        <v>10</v>
      </c>
      <c r="G10">
        <v>0.26</v>
      </c>
      <c r="H10">
        <v>1.06</v>
      </c>
      <c r="I10" s="14">
        <f t="shared" si="0"/>
        <v>61.296432318992657</v>
      </c>
      <c r="J10" s="14">
        <f t="shared" si="2"/>
        <v>1103.3357817418678</v>
      </c>
      <c r="K10">
        <f t="shared" si="3"/>
        <v>64.97</v>
      </c>
      <c r="L10" s="14">
        <f t="shared" si="4"/>
        <v>1168.3057817418678</v>
      </c>
      <c r="M10" s="14">
        <f t="shared" si="1"/>
        <v>-4.2182581321412727E-3</v>
      </c>
      <c r="N10" s="14">
        <f t="shared" si="5"/>
        <v>73.928571428571431</v>
      </c>
      <c r="O10" s="14">
        <f t="shared" si="6"/>
        <v>332.67857142857144</v>
      </c>
      <c r="P10">
        <f t="shared" si="7"/>
        <v>19.22</v>
      </c>
      <c r="Q10" s="14">
        <f t="shared" si="8"/>
        <v>351.89857142857147</v>
      </c>
      <c r="R10" s="14">
        <f t="shared" si="9"/>
        <v>-1.4285714285051654E-3</v>
      </c>
    </row>
    <row r="11" spans="1:18" ht="14.25" customHeight="1">
      <c r="A11" s="4">
        <v>1018</v>
      </c>
      <c r="B11" s="3" t="s">
        <v>8</v>
      </c>
      <c r="C11" s="10" t="s">
        <v>9</v>
      </c>
      <c r="D11" s="5">
        <v>423.45</v>
      </c>
      <c r="E11" s="10">
        <v>1405.85</v>
      </c>
      <c r="F11" t="s">
        <v>10</v>
      </c>
      <c r="G11">
        <v>0.31</v>
      </c>
      <c r="H11">
        <v>1.23</v>
      </c>
      <c r="I11" s="14">
        <f t="shared" si="0"/>
        <v>73.107124284971391</v>
      </c>
      <c r="J11" s="14">
        <f t="shared" si="2"/>
        <v>1315.9282371294851</v>
      </c>
      <c r="K11">
        <f t="shared" si="3"/>
        <v>89.92</v>
      </c>
      <c r="L11" s="14">
        <f t="shared" si="4"/>
        <v>1405.8482371294851</v>
      </c>
      <c r="M11" s="14">
        <f t="shared" si="1"/>
        <v>-1.7628705147672008E-3</v>
      </c>
      <c r="N11" s="14">
        <f t="shared" si="5"/>
        <v>88.035343035343047</v>
      </c>
      <c r="O11" s="14">
        <f t="shared" si="6"/>
        <v>396.15904365904373</v>
      </c>
      <c r="P11">
        <f t="shared" si="7"/>
        <v>27.29</v>
      </c>
      <c r="Q11" s="14">
        <f t="shared" si="8"/>
        <v>423.44904365904375</v>
      </c>
      <c r="R11" s="14">
        <f t="shared" si="9"/>
        <v>-9.5634095623609028E-4</v>
      </c>
    </row>
    <row r="12" spans="1:18" ht="14.25" customHeight="1">
      <c r="A12" s="4">
        <v>1021</v>
      </c>
      <c r="B12" s="3" t="s">
        <v>6</v>
      </c>
      <c r="C12" s="10" t="s">
        <v>7</v>
      </c>
      <c r="D12" s="5">
        <v>351.9</v>
      </c>
      <c r="E12" s="10">
        <v>1168.31</v>
      </c>
      <c r="F12" t="s">
        <v>11</v>
      </c>
      <c r="G12">
        <v>0.1</v>
      </c>
      <c r="H12">
        <v>0.38</v>
      </c>
      <c r="I12" s="14">
        <f t="shared" si="0"/>
        <v>63.564200217627857</v>
      </c>
      <c r="J12" s="14">
        <f t="shared" si="2"/>
        <v>1144.1556039173015</v>
      </c>
      <c r="K12">
        <f t="shared" si="3"/>
        <v>24.15</v>
      </c>
      <c r="L12" s="14">
        <f t="shared" si="4"/>
        <v>1168.3056039173016</v>
      </c>
      <c r="M12" s="14">
        <f t="shared" si="1"/>
        <v>-4.3960826983493462E-3</v>
      </c>
      <c r="N12" s="14">
        <f t="shared" si="5"/>
        <v>76.5</v>
      </c>
      <c r="O12" s="14">
        <f t="shared" si="6"/>
        <v>344.25</v>
      </c>
      <c r="P12">
        <f t="shared" si="7"/>
        <v>7.65</v>
      </c>
      <c r="Q12" s="14">
        <f t="shared" si="8"/>
        <v>351.9</v>
      </c>
      <c r="R12" s="14">
        <f t="shared" si="9"/>
        <v>0</v>
      </c>
    </row>
    <row r="13" spans="1:18" ht="14.25" customHeight="1">
      <c r="A13" s="4">
        <v>1023</v>
      </c>
      <c r="B13" s="3" t="s">
        <v>6</v>
      </c>
      <c r="C13" s="10" t="s">
        <v>7</v>
      </c>
      <c r="D13" s="5">
        <v>351.9</v>
      </c>
      <c r="E13" s="10">
        <v>1168.31</v>
      </c>
      <c r="F13" t="s">
        <v>11</v>
      </c>
      <c r="G13">
        <v>0.09</v>
      </c>
      <c r="H13">
        <v>0.37</v>
      </c>
      <c r="I13" s="14">
        <f t="shared" si="0"/>
        <v>63.598802395209574</v>
      </c>
      <c r="J13" s="14">
        <f t="shared" si="2"/>
        <v>1144.7784431137723</v>
      </c>
      <c r="K13">
        <f t="shared" si="3"/>
        <v>23.53</v>
      </c>
      <c r="L13" s="14">
        <f t="shared" si="4"/>
        <v>1168.3084431137722</v>
      </c>
      <c r="M13" s="14">
        <f t="shared" si="1"/>
        <v>-1.5568862277177686E-3</v>
      </c>
      <c r="N13" s="14">
        <f t="shared" si="5"/>
        <v>76.666666666666657</v>
      </c>
      <c r="O13" s="14">
        <f t="shared" si="6"/>
        <v>344.99999999999994</v>
      </c>
      <c r="P13">
        <f t="shared" si="7"/>
        <v>6.9</v>
      </c>
      <c r="Q13" s="14">
        <f t="shared" si="8"/>
        <v>351.89999999999992</v>
      </c>
      <c r="R13" s="14">
        <f t="shared" si="9"/>
        <v>0</v>
      </c>
    </row>
    <row r="14" spans="1:18" ht="14.25" customHeight="1">
      <c r="A14" s="4">
        <v>1033</v>
      </c>
      <c r="B14" s="3" t="s">
        <v>8</v>
      </c>
      <c r="C14" s="10" t="s">
        <v>9</v>
      </c>
      <c r="D14" s="5">
        <v>423.45</v>
      </c>
      <c r="E14" s="10">
        <v>1405.85</v>
      </c>
      <c r="F14" t="s">
        <v>11</v>
      </c>
      <c r="G14">
        <v>0.44</v>
      </c>
      <c r="H14">
        <v>1.75</v>
      </c>
      <c r="I14" s="14">
        <f t="shared" si="0"/>
        <v>71.182278481012659</v>
      </c>
      <c r="J14" s="14">
        <f t="shared" si="2"/>
        <v>1281.2810126582278</v>
      </c>
      <c r="K14">
        <f t="shared" si="3"/>
        <v>124.57</v>
      </c>
      <c r="L14" s="14">
        <f t="shared" si="4"/>
        <v>1405.8510126582278</v>
      </c>
      <c r="M14" s="14">
        <f t="shared" si="1"/>
        <v>1.0126582278644491E-3</v>
      </c>
      <c r="N14" s="14">
        <f t="shared" si="5"/>
        <v>85.718623481781364</v>
      </c>
      <c r="O14" s="14">
        <f t="shared" si="6"/>
        <v>385.73380566801615</v>
      </c>
      <c r="P14">
        <f t="shared" si="7"/>
        <v>37.72</v>
      </c>
      <c r="Q14" s="14">
        <f t="shared" si="8"/>
        <v>423.45380566801612</v>
      </c>
      <c r="R14" s="14">
        <f t="shared" si="9"/>
        <v>3.8056680161275835E-3</v>
      </c>
    </row>
    <row r="15" spans="1:18" ht="14.25" customHeight="1">
      <c r="A15" s="4">
        <v>2001</v>
      </c>
      <c r="B15" s="3" t="s">
        <v>8</v>
      </c>
      <c r="C15" s="10" t="s">
        <v>9</v>
      </c>
      <c r="D15" s="5">
        <v>423.45</v>
      </c>
      <c r="E15" s="10">
        <v>1405.85</v>
      </c>
      <c r="F15" t="s">
        <v>13</v>
      </c>
      <c r="G15">
        <v>0.39</v>
      </c>
      <c r="H15">
        <v>1.55</v>
      </c>
      <c r="I15" s="14">
        <f t="shared" si="0"/>
        <v>71.910485933503836</v>
      </c>
      <c r="J15" s="14">
        <f t="shared" si="2"/>
        <v>1294.3887468030691</v>
      </c>
      <c r="K15">
        <f t="shared" si="3"/>
        <v>111.46</v>
      </c>
      <c r="L15" s="14">
        <f t="shared" si="4"/>
        <v>1405.8487468030692</v>
      </c>
      <c r="M15" s="14">
        <f t="shared" si="1"/>
        <v>-1.2531969307474355E-3</v>
      </c>
      <c r="N15" s="14">
        <f t="shared" si="5"/>
        <v>86.595092024539881</v>
      </c>
      <c r="O15" s="14">
        <f t="shared" si="6"/>
        <v>389.67791411042947</v>
      </c>
      <c r="P15">
        <f t="shared" si="7"/>
        <v>33.770000000000003</v>
      </c>
      <c r="Q15" s="14">
        <f t="shared" si="8"/>
        <v>423.44791411042945</v>
      </c>
      <c r="R15" s="14">
        <f t="shared" si="9"/>
        <v>-2.085889570537347E-3</v>
      </c>
    </row>
    <row r="16" spans="1:18" ht="14.25" customHeight="1">
      <c r="A16" s="4">
        <v>2002</v>
      </c>
      <c r="B16" s="3" t="s">
        <v>8</v>
      </c>
      <c r="C16" s="10" t="s">
        <v>9</v>
      </c>
      <c r="D16" s="5">
        <v>423.45</v>
      </c>
      <c r="E16" s="10">
        <v>1405.85</v>
      </c>
      <c r="F16" t="s">
        <v>13</v>
      </c>
      <c r="G16">
        <v>0.44</v>
      </c>
      <c r="H16">
        <v>1.77</v>
      </c>
      <c r="I16" s="14">
        <f t="shared" si="0"/>
        <v>71.110268082953965</v>
      </c>
      <c r="J16" s="14">
        <f t="shared" si="2"/>
        <v>1279.9848254931715</v>
      </c>
      <c r="K16">
        <f t="shared" si="3"/>
        <v>125.87</v>
      </c>
      <c r="L16" s="14">
        <f t="shared" si="4"/>
        <v>1405.8548254931716</v>
      </c>
      <c r="M16" s="14">
        <f t="shared" si="1"/>
        <v>4.8254931716655847E-3</v>
      </c>
      <c r="N16" s="14">
        <f t="shared" si="5"/>
        <v>85.718623481781364</v>
      </c>
      <c r="O16" s="14">
        <f t="shared" si="6"/>
        <v>385.73380566801615</v>
      </c>
      <c r="P16">
        <f t="shared" si="7"/>
        <v>37.72</v>
      </c>
      <c r="Q16" s="14">
        <f t="shared" si="8"/>
        <v>423.45380566801612</v>
      </c>
      <c r="R16" s="14">
        <f t="shared" si="9"/>
        <v>3.8056680161275835E-3</v>
      </c>
    </row>
    <row r="17" spans="1:18" ht="14.25" customHeight="1">
      <c r="A17" s="4">
        <v>2003</v>
      </c>
      <c r="B17" s="3" t="s">
        <v>8</v>
      </c>
      <c r="C17" s="10" t="s">
        <v>9</v>
      </c>
      <c r="D17" s="5">
        <v>423.45</v>
      </c>
      <c r="E17" s="10">
        <v>1405.85</v>
      </c>
      <c r="F17" t="s">
        <v>13</v>
      </c>
      <c r="G17">
        <v>0.43</v>
      </c>
      <c r="H17">
        <v>1.73</v>
      </c>
      <c r="I17" s="14">
        <f t="shared" si="0"/>
        <v>71.25443487075519</v>
      </c>
      <c r="J17" s="14">
        <f t="shared" si="2"/>
        <v>1282.5798276735934</v>
      </c>
      <c r="K17">
        <f t="shared" si="3"/>
        <v>123.27</v>
      </c>
      <c r="L17" s="14">
        <f t="shared" si="4"/>
        <v>1405.8498276735934</v>
      </c>
      <c r="M17" s="14">
        <f t="shared" si="1"/>
        <v>-1.723264065276453E-4</v>
      </c>
      <c r="N17" s="14">
        <f t="shared" si="5"/>
        <v>85.892494929006091</v>
      </c>
      <c r="O17" s="14">
        <f t="shared" si="6"/>
        <v>386.51622718052738</v>
      </c>
      <c r="P17">
        <f t="shared" si="7"/>
        <v>36.93</v>
      </c>
      <c r="Q17" s="14">
        <f t="shared" si="8"/>
        <v>423.44622718052739</v>
      </c>
      <c r="R17" s="14">
        <f t="shared" si="9"/>
        <v>-3.7728194726014408E-3</v>
      </c>
    </row>
    <row r="18" spans="1:18" ht="14.25" customHeight="1">
      <c r="A18" s="4">
        <v>2004</v>
      </c>
      <c r="B18" s="3" t="s">
        <v>8</v>
      </c>
      <c r="C18" s="10" t="s">
        <v>9</v>
      </c>
      <c r="D18" s="5">
        <v>423.45</v>
      </c>
      <c r="E18" s="10">
        <v>1405.85</v>
      </c>
      <c r="F18" t="s">
        <v>13</v>
      </c>
      <c r="G18">
        <v>0.19</v>
      </c>
      <c r="H18">
        <v>0.74</v>
      </c>
      <c r="I18" s="14">
        <f t="shared" si="0"/>
        <v>75.018676627534688</v>
      </c>
      <c r="J18" s="14">
        <f t="shared" si="2"/>
        <v>1350.3361792956243</v>
      </c>
      <c r="K18">
        <f t="shared" si="3"/>
        <v>55.51</v>
      </c>
      <c r="L18" s="14">
        <f t="shared" si="4"/>
        <v>1405.8461792956243</v>
      </c>
      <c r="M18" s="14">
        <f t="shared" si="1"/>
        <v>-3.8207043755846826E-3</v>
      </c>
      <c r="N18" s="14">
        <f t="shared" si="5"/>
        <v>90.287846481876329</v>
      </c>
      <c r="O18" s="14">
        <f t="shared" si="6"/>
        <v>406.29530916844351</v>
      </c>
      <c r="P18">
        <f t="shared" si="7"/>
        <v>17.149999999999999</v>
      </c>
      <c r="Q18" s="14">
        <f t="shared" si="8"/>
        <v>423.44530916844349</v>
      </c>
      <c r="R18" s="14">
        <f t="shared" si="9"/>
        <v>-4.690831556501962E-3</v>
      </c>
    </row>
    <row r="19" spans="1:18" ht="14.25" customHeight="1">
      <c r="A19" s="4">
        <v>2008</v>
      </c>
      <c r="B19" s="3" t="s">
        <v>8</v>
      </c>
      <c r="C19" s="10" t="s">
        <v>9</v>
      </c>
      <c r="D19" s="5">
        <v>423.45</v>
      </c>
      <c r="E19" s="10">
        <v>1405.85</v>
      </c>
      <c r="F19" t="s">
        <v>13</v>
      </c>
      <c r="G19">
        <v>0.41</v>
      </c>
      <c r="H19">
        <v>1.63</v>
      </c>
      <c r="I19" s="14">
        <f t="shared" si="0"/>
        <v>71.617422312786545</v>
      </c>
      <c r="J19" s="14">
        <f t="shared" si="2"/>
        <v>1289.1136016301577</v>
      </c>
      <c r="K19">
        <f t="shared" si="3"/>
        <v>116.74</v>
      </c>
      <c r="L19" s="14">
        <f t="shared" si="4"/>
        <v>1405.8536016301578</v>
      </c>
      <c r="M19" s="14">
        <f t="shared" si="1"/>
        <v>3.6016301578456478E-3</v>
      </c>
      <c r="N19" s="14">
        <f t="shared" si="5"/>
        <v>86.242362525458248</v>
      </c>
      <c r="O19" s="14">
        <f t="shared" si="6"/>
        <v>388.09063136456211</v>
      </c>
      <c r="P19">
        <f t="shared" si="7"/>
        <v>35.36</v>
      </c>
      <c r="Q19" s="14">
        <f t="shared" si="8"/>
        <v>423.45063136456213</v>
      </c>
      <c r="R19" s="14">
        <f t="shared" si="9"/>
        <v>6.3136456213896963E-4</v>
      </c>
    </row>
    <row r="20" spans="1:18" ht="14.25" customHeight="1">
      <c r="A20" s="4">
        <v>2010</v>
      </c>
      <c r="B20" s="3" t="s">
        <v>8</v>
      </c>
      <c r="C20" s="10" t="s">
        <v>9</v>
      </c>
      <c r="D20" s="5">
        <v>423.45</v>
      </c>
      <c r="E20" s="10">
        <v>1405.85</v>
      </c>
      <c r="F20" t="s">
        <v>13</v>
      </c>
      <c r="G20">
        <v>0.27</v>
      </c>
      <c r="H20">
        <v>1.0900000000000001</v>
      </c>
      <c r="I20" s="14">
        <f t="shared" si="0"/>
        <v>73.643268727082244</v>
      </c>
      <c r="J20" s="14">
        <f t="shared" si="2"/>
        <v>1325.5788370874805</v>
      </c>
      <c r="K20">
        <f t="shared" si="3"/>
        <v>80.27</v>
      </c>
      <c r="L20" s="14">
        <f t="shared" si="4"/>
        <v>1405.8488370874804</v>
      </c>
      <c r="M20" s="14">
        <f t="shared" si="1"/>
        <v>-1.1629125194758672E-3</v>
      </c>
      <c r="N20" s="14">
        <f t="shared" si="5"/>
        <v>88.773584905660385</v>
      </c>
      <c r="O20" s="14">
        <f t="shared" si="6"/>
        <v>399.48113207547175</v>
      </c>
      <c r="P20">
        <f t="shared" si="7"/>
        <v>23.97</v>
      </c>
      <c r="Q20" s="14">
        <f t="shared" si="8"/>
        <v>423.45113207547172</v>
      </c>
      <c r="R20" s="14">
        <f t="shared" si="9"/>
        <v>1.1320754717303316E-3</v>
      </c>
    </row>
    <row r="21" spans="1:18" ht="14.25" customHeight="1">
      <c r="A21" s="4">
        <v>2012</v>
      </c>
      <c r="B21" s="3" t="s">
        <v>6</v>
      </c>
      <c r="C21" s="10" t="s">
        <v>7</v>
      </c>
      <c r="D21" s="5">
        <v>351.9</v>
      </c>
      <c r="E21" s="10">
        <v>1168.31</v>
      </c>
      <c r="F21" t="s">
        <v>14</v>
      </c>
      <c r="G21">
        <v>0.44</v>
      </c>
      <c r="H21">
        <v>1.76</v>
      </c>
      <c r="I21" s="14">
        <f t="shared" si="0"/>
        <v>59.124999999999993</v>
      </c>
      <c r="J21" s="14">
        <f t="shared" si="2"/>
        <v>1064.2499999999998</v>
      </c>
      <c r="K21">
        <f t="shared" si="3"/>
        <v>104.06</v>
      </c>
      <c r="L21" s="14">
        <f t="shared" si="4"/>
        <v>1168.3099999999997</v>
      </c>
      <c r="M21" s="14">
        <f t="shared" si="1"/>
        <v>0</v>
      </c>
      <c r="N21" s="14">
        <f t="shared" si="5"/>
        <v>71.234817813765176</v>
      </c>
      <c r="O21" s="14">
        <f t="shared" si="6"/>
        <v>320.55668016194329</v>
      </c>
      <c r="P21">
        <f t="shared" si="7"/>
        <v>31.34</v>
      </c>
      <c r="Q21" s="14">
        <f t="shared" si="8"/>
        <v>351.89668016194327</v>
      </c>
      <c r="R21" s="14">
        <f t="shared" si="9"/>
        <v>-3.3198380567114327E-3</v>
      </c>
    </row>
    <row r="22" spans="1:18" ht="14.25" customHeight="1">
      <c r="A22" s="4">
        <v>3000</v>
      </c>
      <c r="B22" s="3" t="s">
        <v>6</v>
      </c>
      <c r="C22" s="10" t="s">
        <v>7</v>
      </c>
      <c r="D22" s="5">
        <v>351.9</v>
      </c>
      <c r="E22" s="10">
        <v>1168.31</v>
      </c>
      <c r="F22" t="s">
        <v>14</v>
      </c>
      <c r="G22">
        <v>0.44</v>
      </c>
      <c r="H22">
        <v>1.77</v>
      </c>
      <c r="I22" s="14">
        <f t="shared" si="0"/>
        <v>59.095093576125443</v>
      </c>
      <c r="J22" s="14">
        <f t="shared" si="2"/>
        <v>1063.7116843702579</v>
      </c>
      <c r="K22">
        <f t="shared" si="3"/>
        <v>104.6</v>
      </c>
      <c r="L22" s="14">
        <f t="shared" si="4"/>
        <v>1168.3116843702578</v>
      </c>
      <c r="M22" s="14">
        <f t="shared" si="1"/>
        <v>1.6843702578626107E-3</v>
      </c>
      <c r="N22" s="14">
        <f t="shared" si="5"/>
        <v>71.234817813765176</v>
      </c>
      <c r="O22" s="14">
        <f t="shared" si="6"/>
        <v>320.55668016194329</v>
      </c>
      <c r="P22">
        <f t="shared" si="7"/>
        <v>31.34</v>
      </c>
      <c r="Q22" s="14">
        <f t="shared" si="8"/>
        <v>351.89668016194327</v>
      </c>
      <c r="R22" s="14">
        <f t="shared" si="9"/>
        <v>-3.3198380567114327E-3</v>
      </c>
    </row>
    <row r="23" spans="1:18" ht="14.25" customHeight="1">
      <c r="A23" s="4">
        <v>3001</v>
      </c>
      <c r="B23" s="3" t="s">
        <v>6</v>
      </c>
      <c r="C23" s="10" t="s">
        <v>7</v>
      </c>
      <c r="D23" s="5">
        <v>351.9</v>
      </c>
      <c r="E23" s="10">
        <v>1168.31</v>
      </c>
      <c r="F23" t="s">
        <v>14</v>
      </c>
      <c r="G23">
        <v>0.44</v>
      </c>
      <c r="H23">
        <v>1.77</v>
      </c>
      <c r="I23" s="14">
        <f t="shared" si="0"/>
        <v>59.095093576125443</v>
      </c>
      <c r="J23" s="14">
        <f t="shared" si="2"/>
        <v>1063.7116843702579</v>
      </c>
      <c r="K23">
        <f t="shared" si="3"/>
        <v>104.6</v>
      </c>
      <c r="L23" s="14">
        <f t="shared" si="4"/>
        <v>1168.3116843702578</v>
      </c>
      <c r="M23" s="14">
        <f t="shared" si="1"/>
        <v>1.6843702578626107E-3</v>
      </c>
      <c r="N23" s="14">
        <f t="shared" si="5"/>
        <v>71.234817813765176</v>
      </c>
      <c r="O23" s="14">
        <f t="shared" si="6"/>
        <v>320.55668016194329</v>
      </c>
      <c r="P23">
        <f t="shared" si="7"/>
        <v>31.34</v>
      </c>
      <c r="Q23" s="14">
        <f t="shared" si="8"/>
        <v>351.89668016194327</v>
      </c>
      <c r="R23" s="14">
        <f t="shared" si="9"/>
        <v>-3.3198380567114327E-3</v>
      </c>
    </row>
    <row r="24" spans="1:18" ht="14.25" customHeight="1">
      <c r="A24" s="4">
        <v>3002</v>
      </c>
      <c r="B24" s="3" t="s">
        <v>6</v>
      </c>
      <c r="C24" s="10" t="s">
        <v>7</v>
      </c>
      <c r="D24" s="5">
        <v>351.9</v>
      </c>
      <c r="E24" s="10">
        <v>1168.31</v>
      </c>
      <c r="F24" t="s">
        <v>14</v>
      </c>
      <c r="G24">
        <v>0.38</v>
      </c>
      <c r="H24">
        <v>1.51</v>
      </c>
      <c r="I24" s="14">
        <f t="shared" si="0"/>
        <v>59.882624295233207</v>
      </c>
      <c r="J24" s="14">
        <f t="shared" si="2"/>
        <v>1077.8872373141978</v>
      </c>
      <c r="K24">
        <f t="shared" si="3"/>
        <v>90.42</v>
      </c>
      <c r="L24" s="14">
        <f t="shared" si="4"/>
        <v>1168.3072373141979</v>
      </c>
      <c r="M24" s="14">
        <f t="shared" si="1"/>
        <v>-2.7626858020539657E-3</v>
      </c>
      <c r="N24" s="14">
        <f t="shared" si="5"/>
        <v>72.110655737704917</v>
      </c>
      <c r="O24" s="14">
        <f t="shared" si="6"/>
        <v>324.49795081967216</v>
      </c>
      <c r="P24">
        <f t="shared" si="7"/>
        <v>27.4</v>
      </c>
      <c r="Q24" s="14">
        <f t="shared" si="8"/>
        <v>351.89795081967213</v>
      </c>
      <c r="R24" s="14">
        <f t="shared" si="9"/>
        <v>-2.0491803278446241E-3</v>
      </c>
    </row>
    <row r="25" spans="1:18" ht="14.25" customHeight="1">
      <c r="A25" s="4">
        <v>3003</v>
      </c>
      <c r="B25" s="3" t="s">
        <v>8</v>
      </c>
      <c r="C25" s="10" t="s">
        <v>9</v>
      </c>
      <c r="D25" s="5">
        <v>423.45</v>
      </c>
      <c r="E25" s="10">
        <v>1405.85</v>
      </c>
      <c r="F25" t="s">
        <v>14</v>
      </c>
      <c r="G25">
        <v>0.44</v>
      </c>
      <c r="H25">
        <v>1.74</v>
      </c>
      <c r="I25" s="14">
        <f t="shared" si="0"/>
        <v>71.218338399189463</v>
      </c>
      <c r="J25" s="14">
        <f t="shared" si="2"/>
        <v>1281.9300911854102</v>
      </c>
      <c r="K25">
        <f t="shared" si="3"/>
        <v>123.92</v>
      </c>
      <c r="L25" s="14">
        <f t="shared" si="4"/>
        <v>1405.8500911854103</v>
      </c>
      <c r="M25" s="14">
        <f t="shared" si="1"/>
        <v>9.1185410383332055E-5</v>
      </c>
      <c r="N25" s="14">
        <f t="shared" si="5"/>
        <v>85.718623481781364</v>
      </c>
      <c r="O25" s="14">
        <f t="shared" si="6"/>
        <v>385.73380566801615</v>
      </c>
      <c r="P25">
        <f t="shared" si="7"/>
        <v>37.72</v>
      </c>
      <c r="Q25" s="14">
        <f t="shared" si="8"/>
        <v>423.45380566801612</v>
      </c>
      <c r="R25" s="14">
        <f t="shared" si="9"/>
        <v>3.8056680161275835E-3</v>
      </c>
    </row>
    <row r="26" spans="1:18" ht="14.25" customHeight="1">
      <c r="A26" s="4">
        <v>3004</v>
      </c>
      <c r="B26" s="3" t="s">
        <v>8</v>
      </c>
      <c r="C26" s="10" t="s">
        <v>9</v>
      </c>
      <c r="D26" s="5">
        <v>423.45</v>
      </c>
      <c r="E26" s="10">
        <v>1405.85</v>
      </c>
      <c r="F26" t="s">
        <v>14</v>
      </c>
      <c r="G26">
        <v>0.42</v>
      </c>
      <c r="H26">
        <v>1.67</v>
      </c>
      <c r="I26" s="14">
        <f t="shared" si="0"/>
        <v>71.471784443314675</v>
      </c>
      <c r="J26" s="14">
        <f t="shared" si="2"/>
        <v>1286.492119979664</v>
      </c>
      <c r="K26">
        <f t="shared" si="3"/>
        <v>119.36</v>
      </c>
      <c r="L26" s="14">
        <f t="shared" si="4"/>
        <v>1405.8521199796639</v>
      </c>
      <c r="M26" s="14">
        <f t="shared" si="1"/>
        <v>2.1199796640303248E-3</v>
      </c>
      <c r="N26" s="14">
        <f t="shared" si="5"/>
        <v>86.067073170731703</v>
      </c>
      <c r="O26" s="14">
        <f t="shared" si="6"/>
        <v>387.30182926829264</v>
      </c>
      <c r="P26">
        <f t="shared" si="7"/>
        <v>36.15</v>
      </c>
      <c r="Q26" s="14">
        <f t="shared" si="8"/>
        <v>423.45182926829261</v>
      </c>
      <c r="R26" s="14">
        <f t="shared" si="9"/>
        <v>1.8292682926244197E-3</v>
      </c>
    </row>
    <row r="27" spans="1:18" ht="14.25" customHeight="1">
      <c r="A27" s="4">
        <v>3005</v>
      </c>
      <c r="B27" s="3" t="s">
        <v>4</v>
      </c>
      <c r="C27" s="10" t="s">
        <v>5</v>
      </c>
      <c r="D27" s="5">
        <v>298.8</v>
      </c>
      <c r="E27" s="10">
        <v>992.02</v>
      </c>
      <c r="F27" t="s">
        <v>14</v>
      </c>
      <c r="G27">
        <v>0.2</v>
      </c>
      <c r="H27">
        <v>0.81</v>
      </c>
      <c r="I27" s="14">
        <f t="shared" si="0"/>
        <v>52.738968633705475</v>
      </c>
      <c r="J27" s="14">
        <f t="shared" si="2"/>
        <v>949.3014354066986</v>
      </c>
      <c r="K27">
        <f t="shared" si="3"/>
        <v>42.72</v>
      </c>
      <c r="L27" s="14">
        <f t="shared" si="4"/>
        <v>992.02143540669863</v>
      </c>
      <c r="M27" s="14">
        <f t="shared" si="1"/>
        <v>1.4354066986470571E-3</v>
      </c>
      <c r="N27" s="14">
        <f t="shared" si="5"/>
        <v>63.574468085106382</v>
      </c>
      <c r="O27" s="14">
        <f t="shared" si="6"/>
        <v>286.08510638297872</v>
      </c>
      <c r="P27">
        <f t="shared" si="7"/>
        <v>12.71</v>
      </c>
      <c r="Q27" s="14">
        <f t="shared" si="8"/>
        <v>298.7951063829787</v>
      </c>
      <c r="R27" s="14">
        <f t="shared" si="9"/>
        <v>-4.8936170213096375E-3</v>
      </c>
    </row>
    <row r="28" spans="1:18" ht="14.25" customHeight="1">
      <c r="A28" s="4">
        <v>3007</v>
      </c>
      <c r="B28" s="3" t="s">
        <v>4</v>
      </c>
      <c r="C28" s="10" t="s">
        <v>5</v>
      </c>
      <c r="D28" s="5">
        <v>298.8</v>
      </c>
      <c r="E28" s="10">
        <v>992.02</v>
      </c>
      <c r="F28" t="s">
        <v>14</v>
      </c>
      <c r="G28">
        <v>0.18</v>
      </c>
      <c r="H28">
        <v>0.74</v>
      </c>
      <c r="I28" s="14">
        <f t="shared" si="0"/>
        <v>52.935965848452511</v>
      </c>
      <c r="J28" s="14">
        <f t="shared" si="2"/>
        <v>952.84738527214517</v>
      </c>
      <c r="K28">
        <f t="shared" si="3"/>
        <v>39.17</v>
      </c>
      <c r="L28" s="14">
        <f t="shared" si="4"/>
        <v>992.01738527214513</v>
      </c>
      <c r="M28" s="14">
        <f t="shared" si="1"/>
        <v>-2.6147278548478425E-3</v>
      </c>
      <c r="N28" s="14">
        <f t="shared" si="5"/>
        <v>63.846153846153854</v>
      </c>
      <c r="O28" s="14">
        <f t="shared" si="6"/>
        <v>287.30769230769232</v>
      </c>
      <c r="P28">
        <f t="shared" si="7"/>
        <v>11.49</v>
      </c>
      <c r="Q28" s="14">
        <f t="shared" si="8"/>
        <v>298.79769230769233</v>
      </c>
      <c r="R28" s="14">
        <f t="shared" si="9"/>
        <v>-2.3076923076814637E-3</v>
      </c>
    </row>
    <row r="29" spans="1:18" ht="14.25" customHeight="1">
      <c r="A29" s="4">
        <v>3009</v>
      </c>
      <c r="B29" s="3" t="s">
        <v>4</v>
      </c>
      <c r="C29" s="10" t="s">
        <v>5</v>
      </c>
      <c r="D29" s="5">
        <v>298.8</v>
      </c>
      <c r="E29" s="10">
        <v>992.02</v>
      </c>
      <c r="F29" t="s">
        <v>14</v>
      </c>
      <c r="G29">
        <v>0.18</v>
      </c>
      <c r="H29">
        <v>0.74</v>
      </c>
      <c r="I29" s="14">
        <f t="shared" si="0"/>
        <v>52.935965848452511</v>
      </c>
      <c r="J29" s="14">
        <f t="shared" si="2"/>
        <v>952.84738527214517</v>
      </c>
      <c r="K29">
        <f t="shared" si="3"/>
        <v>39.17</v>
      </c>
      <c r="L29" s="14">
        <f t="shared" si="4"/>
        <v>992.01738527214513</v>
      </c>
      <c r="M29" s="14">
        <f t="shared" si="1"/>
        <v>-2.6147278548478425E-3</v>
      </c>
      <c r="N29" s="14">
        <f t="shared" si="5"/>
        <v>63.846153846153854</v>
      </c>
      <c r="O29" s="14">
        <f t="shared" si="6"/>
        <v>287.30769230769232</v>
      </c>
      <c r="P29">
        <f t="shared" si="7"/>
        <v>11.49</v>
      </c>
      <c r="Q29" s="14">
        <f t="shared" si="8"/>
        <v>298.79769230769233</v>
      </c>
      <c r="R29" s="14">
        <f t="shared" si="9"/>
        <v>-2.3076923076814637E-3</v>
      </c>
    </row>
    <row r="30" spans="1:18" ht="14.25" customHeight="1">
      <c r="A30" s="4">
        <v>3011</v>
      </c>
      <c r="B30" s="3" t="s">
        <v>6</v>
      </c>
      <c r="C30" s="10" t="s">
        <v>7</v>
      </c>
      <c r="D30" s="5">
        <v>351.9</v>
      </c>
      <c r="E30" s="10">
        <v>1168.31</v>
      </c>
      <c r="F30" t="s">
        <v>14</v>
      </c>
      <c r="G30">
        <v>0.27</v>
      </c>
      <c r="H30">
        <v>1.0900000000000001</v>
      </c>
      <c r="I30" s="14">
        <f t="shared" si="0"/>
        <v>61.200104766893659</v>
      </c>
      <c r="J30" s="14">
        <f t="shared" si="2"/>
        <v>1101.6018858040859</v>
      </c>
      <c r="K30">
        <f t="shared" si="3"/>
        <v>66.709999999999994</v>
      </c>
      <c r="L30" s="14">
        <f t="shared" si="4"/>
        <v>1168.3118858040859</v>
      </c>
      <c r="M30" s="14">
        <f t="shared" si="1"/>
        <v>1.8858040859868197E-3</v>
      </c>
      <c r="N30" s="14">
        <f t="shared" si="5"/>
        <v>73.773584905660385</v>
      </c>
      <c r="O30" s="14">
        <f t="shared" si="6"/>
        <v>331.98113207547175</v>
      </c>
      <c r="P30">
        <f t="shared" si="7"/>
        <v>19.920000000000002</v>
      </c>
      <c r="Q30" s="14">
        <f t="shared" si="8"/>
        <v>351.90113207547176</v>
      </c>
      <c r="R30" s="14">
        <f t="shared" si="9"/>
        <v>1.132075471787175E-3</v>
      </c>
    </row>
    <row r="31" spans="1:18" ht="14.25" customHeight="1">
      <c r="A31" s="4">
        <v>3013</v>
      </c>
      <c r="B31" s="3" t="s">
        <v>4</v>
      </c>
      <c r="C31" s="10" t="s">
        <v>5</v>
      </c>
      <c r="D31" s="5">
        <v>298.8</v>
      </c>
      <c r="E31" s="10">
        <v>992.02</v>
      </c>
      <c r="F31" t="s">
        <v>14</v>
      </c>
      <c r="G31">
        <v>0.28999999999999998</v>
      </c>
      <c r="H31">
        <v>1.18</v>
      </c>
      <c r="I31" s="14">
        <f t="shared" si="0"/>
        <v>51.721584984358707</v>
      </c>
      <c r="J31" s="14">
        <f t="shared" si="2"/>
        <v>930.98852971845668</v>
      </c>
      <c r="K31">
        <f t="shared" si="3"/>
        <v>61.03</v>
      </c>
      <c r="L31" s="14">
        <f t="shared" si="4"/>
        <v>992.01852971845665</v>
      </c>
      <c r="M31" s="14">
        <f t="shared" si="1"/>
        <v>-1.4702815433338401E-3</v>
      </c>
      <c r="N31" s="14">
        <f t="shared" si="5"/>
        <v>62.379958246346554</v>
      </c>
      <c r="O31" s="14">
        <f t="shared" si="6"/>
        <v>280.7098121085595</v>
      </c>
      <c r="P31">
        <f t="shared" si="7"/>
        <v>18.09</v>
      </c>
      <c r="Q31" s="14">
        <f t="shared" si="8"/>
        <v>298.79981210855948</v>
      </c>
      <c r="R31" s="14">
        <f t="shared" si="9"/>
        <v>-1.8789144053243945E-4</v>
      </c>
    </row>
    <row r="32" spans="1:18" ht="14.25" customHeight="1">
      <c r="A32" s="4">
        <v>3016</v>
      </c>
      <c r="B32" s="3" t="s">
        <v>6</v>
      </c>
      <c r="C32" s="10" t="s">
        <v>7</v>
      </c>
      <c r="D32" s="5">
        <v>351.9</v>
      </c>
      <c r="E32" s="10">
        <v>1168.31</v>
      </c>
      <c r="F32" t="s">
        <v>14</v>
      </c>
      <c r="G32">
        <v>0.44</v>
      </c>
      <c r="H32">
        <v>1.75</v>
      </c>
      <c r="I32" s="14">
        <f t="shared" si="0"/>
        <v>59.15493670886076</v>
      </c>
      <c r="J32" s="14">
        <f t="shared" si="2"/>
        <v>1064.7888607594937</v>
      </c>
      <c r="K32">
        <f t="shared" si="3"/>
        <v>103.52</v>
      </c>
      <c r="L32" s="14">
        <f t="shared" si="4"/>
        <v>1168.3088607594937</v>
      </c>
      <c r="M32" s="14">
        <f t="shared" si="1"/>
        <v>-1.1392405062906619E-3</v>
      </c>
      <c r="N32" s="14">
        <f t="shared" si="5"/>
        <v>71.234817813765176</v>
      </c>
      <c r="O32" s="14">
        <f t="shared" si="6"/>
        <v>320.55668016194329</v>
      </c>
      <c r="P32">
        <f t="shared" si="7"/>
        <v>31.34</v>
      </c>
      <c r="Q32" s="14">
        <f t="shared" si="8"/>
        <v>351.89668016194327</v>
      </c>
      <c r="R32" s="14">
        <f t="shared" si="9"/>
        <v>-3.3198380567114327E-3</v>
      </c>
    </row>
    <row r="33" spans="1:18" ht="14.25" customHeight="1">
      <c r="A33" s="4">
        <v>3020</v>
      </c>
      <c r="B33" s="3" t="s">
        <v>6</v>
      </c>
      <c r="C33" s="10" t="s">
        <v>7</v>
      </c>
      <c r="D33" s="5">
        <v>351.9</v>
      </c>
      <c r="E33" s="10">
        <v>1168.31</v>
      </c>
      <c r="F33" t="s">
        <v>14</v>
      </c>
      <c r="G33">
        <v>0.44</v>
      </c>
      <c r="H33">
        <v>1.77</v>
      </c>
      <c r="I33" s="14">
        <f t="shared" si="0"/>
        <v>59.095093576125443</v>
      </c>
      <c r="J33" s="14">
        <f t="shared" si="2"/>
        <v>1063.7116843702579</v>
      </c>
      <c r="K33">
        <f t="shared" si="3"/>
        <v>104.6</v>
      </c>
      <c r="L33" s="14">
        <f t="shared" si="4"/>
        <v>1168.3116843702578</v>
      </c>
      <c r="M33" s="14">
        <f t="shared" si="1"/>
        <v>1.6843702578626107E-3</v>
      </c>
      <c r="N33" s="14">
        <f t="shared" si="5"/>
        <v>71.234817813765176</v>
      </c>
      <c r="O33" s="14">
        <f t="shared" si="6"/>
        <v>320.55668016194329</v>
      </c>
      <c r="P33">
        <f t="shared" si="7"/>
        <v>31.34</v>
      </c>
      <c r="Q33" s="14">
        <f t="shared" si="8"/>
        <v>351.89668016194327</v>
      </c>
      <c r="R33" s="14">
        <f t="shared" si="9"/>
        <v>-3.3198380567114327E-3</v>
      </c>
    </row>
    <row r="34" spans="1:18" ht="14.25" customHeight="1">
      <c r="A34" s="4">
        <v>3027</v>
      </c>
      <c r="B34" s="3" t="s">
        <v>6</v>
      </c>
      <c r="C34" s="10" t="s">
        <v>7</v>
      </c>
      <c r="D34" s="5">
        <v>351.9</v>
      </c>
      <c r="E34" s="10">
        <v>1168.31</v>
      </c>
      <c r="F34" t="s">
        <v>14</v>
      </c>
      <c r="G34">
        <v>0.42</v>
      </c>
      <c r="H34">
        <v>1.68</v>
      </c>
      <c r="I34" s="14">
        <f t="shared" si="0"/>
        <v>59.365345528455279</v>
      </c>
      <c r="J34" s="14">
        <f t="shared" si="2"/>
        <v>1068.5762195121949</v>
      </c>
      <c r="K34">
        <f t="shared" si="3"/>
        <v>99.73</v>
      </c>
      <c r="L34" s="14">
        <f t="shared" si="4"/>
        <v>1168.306219512195</v>
      </c>
      <c r="M34" s="14">
        <f t="shared" si="1"/>
        <v>-3.7804878049882973E-3</v>
      </c>
      <c r="N34" s="14">
        <f t="shared" si="5"/>
        <v>71.524390243902431</v>
      </c>
      <c r="O34" s="14">
        <f t="shared" si="6"/>
        <v>321.85975609756093</v>
      </c>
      <c r="P34">
        <f t="shared" si="7"/>
        <v>30.04</v>
      </c>
      <c r="Q34" s="14">
        <f t="shared" si="8"/>
        <v>351.89975609756095</v>
      </c>
      <c r="R34" s="14">
        <f t="shared" si="9"/>
        <v>-2.4390243902416842E-4</v>
      </c>
    </row>
    <row r="35" spans="1:18" ht="14.25" customHeight="1">
      <c r="A35" s="4">
        <v>5002</v>
      </c>
      <c r="B35" s="3" t="s">
        <v>6</v>
      </c>
      <c r="C35" s="10" t="s">
        <v>7</v>
      </c>
      <c r="D35" s="5">
        <v>351.9</v>
      </c>
      <c r="E35" s="10">
        <v>1168.31</v>
      </c>
      <c r="F35" t="s">
        <v>14</v>
      </c>
      <c r="G35">
        <v>0.43</v>
      </c>
      <c r="H35">
        <v>1.71</v>
      </c>
      <c r="I35" s="14">
        <f t="shared" si="0"/>
        <v>59.274987316083198</v>
      </c>
      <c r="J35" s="14">
        <f t="shared" si="2"/>
        <v>1066.9497716894975</v>
      </c>
      <c r="K35">
        <f t="shared" si="3"/>
        <v>101.36</v>
      </c>
      <c r="L35" s="14">
        <f t="shared" si="4"/>
        <v>1168.3097716894974</v>
      </c>
      <c r="M35" s="14">
        <f t="shared" si="1"/>
        <v>-2.2831050250715634E-4</v>
      </c>
      <c r="N35" s="14">
        <f t="shared" si="5"/>
        <v>71.379310344827587</v>
      </c>
      <c r="O35" s="14">
        <f t="shared" si="6"/>
        <v>321.20689655172413</v>
      </c>
      <c r="P35">
        <f t="shared" si="7"/>
        <v>30.69</v>
      </c>
      <c r="Q35" s="14">
        <f t="shared" si="8"/>
        <v>351.89689655172413</v>
      </c>
      <c r="R35" s="14">
        <f t="shared" si="9"/>
        <v>-3.1034482758514059E-3</v>
      </c>
    </row>
    <row r="36" spans="1:18" ht="14.25" customHeight="1">
      <c r="A36" s="4">
        <v>5003</v>
      </c>
      <c r="B36" s="3" t="s">
        <v>4</v>
      </c>
      <c r="C36" s="10" t="s">
        <v>5</v>
      </c>
      <c r="D36" s="5">
        <v>298.8</v>
      </c>
      <c r="E36" s="10">
        <v>992.02</v>
      </c>
      <c r="F36" t="s">
        <v>14</v>
      </c>
      <c r="G36">
        <v>0.22</v>
      </c>
      <c r="H36">
        <v>0.88</v>
      </c>
      <c r="I36" s="14">
        <f t="shared" si="0"/>
        <v>52.543432203389834</v>
      </c>
      <c r="J36" s="14">
        <f t="shared" si="2"/>
        <v>945.78177966101703</v>
      </c>
      <c r="K36">
        <f t="shared" si="3"/>
        <v>46.24</v>
      </c>
      <c r="L36" s="14">
        <f t="shared" si="4"/>
        <v>992.02177966101704</v>
      </c>
      <c r="M36" s="14">
        <f t="shared" si="1"/>
        <v>1.7796610170535132E-3</v>
      </c>
      <c r="N36" s="14">
        <f t="shared" si="5"/>
        <v>63.30508474576272</v>
      </c>
      <c r="O36" s="14">
        <f t="shared" si="6"/>
        <v>284.87288135593224</v>
      </c>
      <c r="P36">
        <f t="shared" si="7"/>
        <v>13.93</v>
      </c>
      <c r="Q36" s="14">
        <f t="shared" si="8"/>
        <v>298.80288135593224</v>
      </c>
      <c r="R36" s="14">
        <f t="shared" si="9"/>
        <v>2.8813559322315996E-3</v>
      </c>
    </row>
    <row r="37" spans="1:18" ht="14.25" customHeight="1">
      <c r="A37" s="4">
        <v>5005</v>
      </c>
      <c r="B37" s="3" t="s">
        <v>4</v>
      </c>
      <c r="C37" s="10" t="s">
        <v>5</v>
      </c>
      <c r="D37" s="5">
        <v>298.8</v>
      </c>
      <c r="E37" s="10">
        <v>992.02</v>
      </c>
      <c r="F37" t="s">
        <v>14</v>
      </c>
      <c r="G37">
        <v>0.28999999999999998</v>
      </c>
      <c r="H37">
        <v>1.1599999999999999</v>
      </c>
      <c r="I37" s="14">
        <f t="shared" si="0"/>
        <v>51.775574112734866</v>
      </c>
      <c r="J37" s="14">
        <f t="shared" si="2"/>
        <v>931.96033402922762</v>
      </c>
      <c r="K37">
        <f t="shared" si="3"/>
        <v>60.06</v>
      </c>
      <c r="L37" s="14">
        <f t="shared" si="4"/>
        <v>992.02033402922757</v>
      </c>
      <c r="M37" s="14">
        <f t="shared" si="1"/>
        <v>3.3402922758796194E-4</v>
      </c>
      <c r="N37" s="14">
        <f t="shared" si="5"/>
        <v>62.379958246346554</v>
      </c>
      <c r="O37" s="14">
        <f t="shared" si="6"/>
        <v>280.7098121085595</v>
      </c>
      <c r="P37">
        <f t="shared" si="7"/>
        <v>18.09</v>
      </c>
      <c r="Q37" s="14">
        <f t="shared" si="8"/>
        <v>298.79981210855948</v>
      </c>
      <c r="R37" s="14">
        <f t="shared" si="9"/>
        <v>-1.8789144053243945E-4</v>
      </c>
    </row>
    <row r="38" spans="1:18" ht="14.25" customHeight="1">
      <c r="A38" s="4">
        <v>5007</v>
      </c>
      <c r="B38" s="3" t="s">
        <v>4</v>
      </c>
      <c r="C38" s="10" t="s">
        <v>5</v>
      </c>
      <c r="D38" s="5">
        <v>298.8</v>
      </c>
      <c r="E38" s="10">
        <v>992.02</v>
      </c>
      <c r="F38" t="s">
        <v>14</v>
      </c>
      <c r="G38">
        <v>0.19</v>
      </c>
      <c r="H38">
        <v>0.76</v>
      </c>
      <c r="I38" s="14">
        <f t="shared" si="0"/>
        <v>52.879530916844345</v>
      </c>
      <c r="J38" s="14">
        <f t="shared" si="2"/>
        <v>951.83155650319827</v>
      </c>
      <c r="K38">
        <f t="shared" si="3"/>
        <v>40.19</v>
      </c>
      <c r="L38" s="14">
        <f t="shared" si="4"/>
        <v>992.02155650319833</v>
      </c>
      <c r="M38" s="14">
        <f t="shared" si="1"/>
        <v>1.5565031983442168E-3</v>
      </c>
      <c r="N38" s="14">
        <f t="shared" si="5"/>
        <v>63.710021321961619</v>
      </c>
      <c r="O38" s="14">
        <f t="shared" si="6"/>
        <v>286.69509594882732</v>
      </c>
      <c r="P38">
        <f t="shared" si="7"/>
        <v>12.1</v>
      </c>
      <c r="Q38" s="14">
        <f t="shared" si="8"/>
        <v>298.79509594882734</v>
      </c>
      <c r="R38" s="14">
        <f t="shared" si="9"/>
        <v>-4.9040511726730074E-3</v>
      </c>
    </row>
    <row r="39" spans="1:18" ht="14.25" customHeight="1">
      <c r="A39" s="4">
        <v>5010</v>
      </c>
      <c r="B39" s="3" t="s">
        <v>4</v>
      </c>
      <c r="C39" s="10" t="s">
        <v>5</v>
      </c>
      <c r="D39" s="5">
        <v>298.8</v>
      </c>
      <c r="E39" s="10">
        <v>992.02</v>
      </c>
      <c r="F39" t="s">
        <v>14</v>
      </c>
      <c r="G39">
        <v>0.21</v>
      </c>
      <c r="H39">
        <v>0.86</v>
      </c>
      <c r="I39" s="14">
        <f t="shared" si="0"/>
        <v>52.599151643690348</v>
      </c>
      <c r="J39" s="14">
        <f t="shared" si="2"/>
        <v>946.78472958642624</v>
      </c>
      <c r="K39">
        <f t="shared" si="3"/>
        <v>45.24</v>
      </c>
      <c r="L39" s="14">
        <f t="shared" si="4"/>
        <v>992.02472958642625</v>
      </c>
      <c r="M39" s="14">
        <f t="shared" si="1"/>
        <v>4.7295864262650866E-3</v>
      </c>
      <c r="N39" s="14">
        <f t="shared" si="5"/>
        <v>63.439490445859875</v>
      </c>
      <c r="O39" s="14">
        <f t="shared" si="6"/>
        <v>285.47770700636943</v>
      </c>
      <c r="P39">
        <f t="shared" si="7"/>
        <v>13.32</v>
      </c>
      <c r="Q39" s="14">
        <f t="shared" si="8"/>
        <v>298.79770700636942</v>
      </c>
      <c r="R39" s="14">
        <f t="shared" si="9"/>
        <v>-2.2929936305899901E-3</v>
      </c>
    </row>
    <row r="40" spans="1:18" ht="14.25" customHeight="1">
      <c r="A40" s="4">
        <v>5011</v>
      </c>
      <c r="B40" s="3" t="s">
        <v>4</v>
      </c>
      <c r="C40" s="10" t="s">
        <v>5</v>
      </c>
      <c r="D40" s="5">
        <v>298.8</v>
      </c>
      <c r="E40" s="10">
        <v>992.02</v>
      </c>
      <c r="F40" t="s">
        <v>14</v>
      </c>
      <c r="G40">
        <v>0.23</v>
      </c>
      <c r="H40">
        <v>0.9</v>
      </c>
      <c r="I40" s="14">
        <f t="shared" si="0"/>
        <v>52.487830687830687</v>
      </c>
      <c r="J40" s="14">
        <f t="shared" si="2"/>
        <v>944.78095238095239</v>
      </c>
      <c r="K40">
        <f t="shared" si="3"/>
        <v>47.24</v>
      </c>
      <c r="L40" s="14">
        <f t="shared" si="4"/>
        <v>992.02095238095239</v>
      </c>
      <c r="M40" s="14">
        <f t="shared" si="1"/>
        <v>9.5238095241256815E-4</v>
      </c>
      <c r="N40" s="14">
        <f t="shared" si="5"/>
        <v>63.171247357293865</v>
      </c>
      <c r="O40" s="14">
        <f t="shared" si="6"/>
        <v>284.27061310782238</v>
      </c>
      <c r="P40">
        <f t="shared" si="7"/>
        <v>14.53</v>
      </c>
      <c r="Q40" s="14">
        <f t="shared" si="8"/>
        <v>298.80061310782236</v>
      </c>
      <c r="R40" s="14">
        <f t="shared" si="9"/>
        <v>6.1310782234613725E-4</v>
      </c>
    </row>
    <row r="41" spans="1:18" ht="14.25" customHeight="1">
      <c r="A41" s="4">
        <v>5012</v>
      </c>
      <c r="B41" s="3" t="s">
        <v>4</v>
      </c>
      <c r="C41" s="10" t="s">
        <v>5</v>
      </c>
      <c r="D41" s="5">
        <v>298.8</v>
      </c>
      <c r="E41" s="10">
        <v>992.02</v>
      </c>
      <c r="F41" t="s">
        <v>14</v>
      </c>
      <c r="G41">
        <v>0.18</v>
      </c>
      <c r="H41">
        <v>0.74</v>
      </c>
      <c r="I41" s="14">
        <f t="shared" si="0"/>
        <v>52.935965848452511</v>
      </c>
      <c r="J41" s="14">
        <f t="shared" si="2"/>
        <v>952.84738527214517</v>
      </c>
      <c r="K41">
        <f t="shared" si="3"/>
        <v>39.17</v>
      </c>
      <c r="L41" s="14">
        <f t="shared" si="4"/>
        <v>992.01738527214513</v>
      </c>
      <c r="M41" s="14">
        <f t="shared" si="1"/>
        <v>-2.6147278548478425E-3</v>
      </c>
      <c r="N41" s="14">
        <f t="shared" si="5"/>
        <v>63.846153846153854</v>
      </c>
      <c r="O41" s="14">
        <f t="shared" si="6"/>
        <v>287.30769230769232</v>
      </c>
      <c r="P41">
        <f t="shared" si="7"/>
        <v>11.49</v>
      </c>
      <c r="Q41" s="14">
        <f t="shared" si="8"/>
        <v>298.79769230769233</v>
      </c>
      <c r="R41" s="14">
        <f t="shared" si="9"/>
        <v>-2.3076923076814637E-3</v>
      </c>
    </row>
    <row r="42" spans="1:18" ht="14.25" customHeight="1">
      <c r="A42" s="4">
        <v>5013</v>
      </c>
      <c r="B42" s="3" t="s">
        <v>6</v>
      </c>
      <c r="C42" s="10" t="s">
        <v>7</v>
      </c>
      <c r="D42" s="5">
        <v>351.9</v>
      </c>
      <c r="E42" s="10">
        <v>1168.31</v>
      </c>
      <c r="F42" t="s">
        <v>14</v>
      </c>
      <c r="G42">
        <v>0.34</v>
      </c>
      <c r="H42">
        <v>1.36</v>
      </c>
      <c r="I42" s="14">
        <f t="shared" si="0"/>
        <v>60.346590909090907</v>
      </c>
      <c r="J42" s="14">
        <f t="shared" si="2"/>
        <v>1086.2386363636363</v>
      </c>
      <c r="K42">
        <f t="shared" si="3"/>
        <v>82.07</v>
      </c>
      <c r="L42" s="14">
        <f t="shared" si="4"/>
        <v>1168.3086363636362</v>
      </c>
      <c r="M42" s="14">
        <f t="shared" si="1"/>
        <v>-1.3636363637488103E-3</v>
      </c>
      <c r="N42" s="14">
        <f t="shared" si="5"/>
        <v>72.706611570247929</v>
      </c>
      <c r="O42" s="14">
        <f t="shared" si="6"/>
        <v>327.17975206611567</v>
      </c>
      <c r="P42">
        <f t="shared" si="7"/>
        <v>24.72</v>
      </c>
      <c r="Q42" s="14">
        <f t="shared" si="8"/>
        <v>351.89975206611564</v>
      </c>
      <c r="R42" s="14">
        <f t="shared" si="9"/>
        <v>-2.4793388433863583E-4</v>
      </c>
    </row>
    <row r="43" spans="1:18" ht="14.25" customHeight="1">
      <c r="A43" s="4">
        <v>5015</v>
      </c>
      <c r="B43" s="3" t="s">
        <v>4</v>
      </c>
      <c r="C43" s="10" t="s">
        <v>5</v>
      </c>
      <c r="D43" s="5">
        <v>298.8</v>
      </c>
      <c r="E43" s="10">
        <v>992.02</v>
      </c>
      <c r="F43" t="s">
        <v>14</v>
      </c>
      <c r="G43">
        <v>0.19</v>
      </c>
      <c r="H43">
        <v>0.77</v>
      </c>
      <c r="I43" s="14">
        <f t="shared" si="0"/>
        <v>52.851358550879063</v>
      </c>
      <c r="J43" s="14">
        <f t="shared" si="2"/>
        <v>951.32445391582314</v>
      </c>
      <c r="K43">
        <f t="shared" si="3"/>
        <v>40.700000000000003</v>
      </c>
      <c r="L43" s="14">
        <f t="shared" si="4"/>
        <v>992.02445391582319</v>
      </c>
      <c r="M43" s="14">
        <f t="shared" si="1"/>
        <v>4.4539158232055343E-3</v>
      </c>
      <c r="N43" s="14">
        <f t="shared" si="5"/>
        <v>63.710021321961619</v>
      </c>
      <c r="O43" s="14">
        <f t="shared" si="6"/>
        <v>286.69509594882732</v>
      </c>
      <c r="P43">
        <f t="shared" si="7"/>
        <v>12.1</v>
      </c>
      <c r="Q43" s="14">
        <f t="shared" si="8"/>
        <v>298.79509594882734</v>
      </c>
      <c r="R43" s="14">
        <f t="shared" si="9"/>
        <v>-4.9040511726730074E-3</v>
      </c>
    </row>
    <row r="44" spans="1:18" ht="14.25" customHeight="1">
      <c r="A44" s="4">
        <v>5017</v>
      </c>
      <c r="B44" s="3" t="s">
        <v>4</v>
      </c>
      <c r="C44" s="10" t="s">
        <v>5</v>
      </c>
      <c r="D44" s="5">
        <v>298.8</v>
      </c>
      <c r="E44" s="10">
        <v>992.02</v>
      </c>
      <c r="F44" t="s">
        <v>14</v>
      </c>
      <c r="G44">
        <v>0.24</v>
      </c>
      <c r="H44">
        <v>0.96</v>
      </c>
      <c r="I44" s="14">
        <f t="shared" si="0"/>
        <v>52.321729957805907</v>
      </c>
      <c r="J44" s="14">
        <f t="shared" si="2"/>
        <v>941.79113924050637</v>
      </c>
      <c r="K44">
        <f t="shared" si="3"/>
        <v>50.23</v>
      </c>
      <c r="L44" s="14">
        <f t="shared" si="4"/>
        <v>992.02113924050639</v>
      </c>
      <c r="M44" s="14">
        <f t="shared" si="1"/>
        <v>1.1392405064043487E-3</v>
      </c>
      <c r="N44" s="14">
        <f t="shared" si="5"/>
        <v>63.037974683544306</v>
      </c>
      <c r="O44" s="14">
        <f t="shared" si="6"/>
        <v>283.6708860759494</v>
      </c>
      <c r="P44">
        <f t="shared" si="7"/>
        <v>15.13</v>
      </c>
      <c r="Q44" s="14">
        <f t="shared" si="8"/>
        <v>298.80088607594939</v>
      </c>
      <c r="R44" s="14">
        <f t="shared" si="9"/>
        <v>8.86075949381393E-4</v>
      </c>
    </row>
    <row r="45" spans="1:18" ht="14.25" customHeight="1">
      <c r="A45" s="4">
        <v>5019</v>
      </c>
      <c r="B45" s="3" t="s">
        <v>4</v>
      </c>
      <c r="C45" s="10" t="s">
        <v>5</v>
      </c>
      <c r="D45" s="5">
        <v>298.8</v>
      </c>
      <c r="E45" s="10">
        <v>992.02</v>
      </c>
      <c r="F45" t="s">
        <v>14</v>
      </c>
      <c r="G45">
        <v>0.2</v>
      </c>
      <c r="H45">
        <v>0.8</v>
      </c>
      <c r="I45" s="14">
        <f t="shared" si="0"/>
        <v>52.767021276595742</v>
      </c>
      <c r="J45" s="14">
        <f t="shared" si="2"/>
        <v>949.80638297872338</v>
      </c>
      <c r="K45">
        <f t="shared" si="3"/>
        <v>42.21</v>
      </c>
      <c r="L45" s="14">
        <f t="shared" si="4"/>
        <v>992.01638297872341</v>
      </c>
      <c r="M45" s="14">
        <f t="shared" si="1"/>
        <v>-3.6170212765682663E-3</v>
      </c>
      <c r="N45" s="14">
        <f t="shared" si="5"/>
        <v>63.574468085106382</v>
      </c>
      <c r="O45" s="14">
        <f t="shared" si="6"/>
        <v>286.08510638297872</v>
      </c>
      <c r="P45">
        <f t="shared" si="7"/>
        <v>12.71</v>
      </c>
      <c r="Q45" s="14">
        <f t="shared" si="8"/>
        <v>298.7951063829787</v>
      </c>
      <c r="R45" s="14">
        <f t="shared" si="9"/>
        <v>-4.8936170213096375E-3</v>
      </c>
    </row>
    <row r="46" spans="1:18" ht="14.25" customHeight="1">
      <c r="A46" s="4">
        <v>5021</v>
      </c>
      <c r="B46" s="3" t="s">
        <v>4</v>
      </c>
      <c r="C46" s="10" t="s">
        <v>5</v>
      </c>
      <c r="D46" s="5">
        <v>298.8</v>
      </c>
      <c r="E46" s="10">
        <v>992.02</v>
      </c>
      <c r="F46" t="s">
        <v>14</v>
      </c>
      <c r="G46">
        <v>0.22</v>
      </c>
      <c r="H46">
        <v>0.86</v>
      </c>
      <c r="I46" s="14">
        <f t="shared" si="0"/>
        <v>52.599151643690348</v>
      </c>
      <c r="J46" s="14">
        <f t="shared" si="2"/>
        <v>946.78472958642624</v>
      </c>
      <c r="K46">
        <f t="shared" si="3"/>
        <v>45.24</v>
      </c>
      <c r="L46" s="14">
        <f t="shared" si="4"/>
        <v>992.02472958642625</v>
      </c>
      <c r="M46" s="14">
        <f t="shared" si="1"/>
        <v>4.7295864262650866E-3</v>
      </c>
      <c r="N46" s="14">
        <f t="shared" si="5"/>
        <v>63.30508474576272</v>
      </c>
      <c r="O46" s="14">
        <f t="shared" si="6"/>
        <v>284.87288135593224</v>
      </c>
      <c r="P46">
        <f t="shared" si="7"/>
        <v>13.93</v>
      </c>
      <c r="Q46" s="14">
        <f t="shared" si="8"/>
        <v>298.80288135593224</v>
      </c>
      <c r="R46" s="14">
        <f t="shared" si="9"/>
        <v>2.8813559322315996E-3</v>
      </c>
    </row>
    <row r="47" spans="1:18" ht="14.25" customHeight="1">
      <c r="A47" s="4">
        <v>5024</v>
      </c>
      <c r="B47" s="3" t="s">
        <v>4</v>
      </c>
      <c r="C47" s="10" t="s">
        <v>5</v>
      </c>
      <c r="D47" s="5">
        <v>298.8</v>
      </c>
      <c r="E47" s="10">
        <v>992.02</v>
      </c>
      <c r="F47" t="s">
        <v>10</v>
      </c>
      <c r="G47">
        <v>0.06</v>
      </c>
      <c r="H47">
        <v>0.23</v>
      </c>
      <c r="I47" s="14">
        <f t="shared" si="0"/>
        <v>54.416895227646734</v>
      </c>
      <c r="J47" s="14">
        <f t="shared" si="2"/>
        <v>979.50411409764115</v>
      </c>
      <c r="K47">
        <f t="shared" si="3"/>
        <v>12.52</v>
      </c>
      <c r="L47" s="14">
        <f t="shared" si="4"/>
        <v>992.02411409764113</v>
      </c>
      <c r="M47" s="14">
        <f t="shared" si="1"/>
        <v>4.1140976411497832E-3</v>
      </c>
      <c r="N47" s="14">
        <f t="shared" si="5"/>
        <v>65.526315789473699</v>
      </c>
      <c r="O47" s="14">
        <f t="shared" si="6"/>
        <v>294.86842105263167</v>
      </c>
      <c r="P47">
        <f t="shared" si="7"/>
        <v>3.93</v>
      </c>
      <c r="Q47" s="14">
        <f t="shared" si="8"/>
        <v>298.79842105263168</v>
      </c>
      <c r="R47" s="14">
        <f t="shared" si="9"/>
        <v>-1.5789473683298638E-3</v>
      </c>
    </row>
    <row r="48" spans="1:18" ht="14.25" customHeight="1">
      <c r="A48" s="4">
        <v>6000</v>
      </c>
      <c r="B48" s="3" t="s">
        <v>4</v>
      </c>
      <c r="C48" s="10" t="s">
        <v>5</v>
      </c>
      <c r="D48" s="5">
        <v>298.8</v>
      </c>
      <c r="E48" s="10">
        <v>992.02</v>
      </c>
      <c r="F48" t="s">
        <v>14</v>
      </c>
      <c r="G48">
        <v>0.21</v>
      </c>
      <c r="H48">
        <v>0.82</v>
      </c>
      <c r="I48" s="14">
        <f t="shared" si="0"/>
        <v>52.710945802337939</v>
      </c>
      <c r="J48" s="14">
        <f t="shared" si="2"/>
        <v>948.79702444208294</v>
      </c>
      <c r="K48">
        <f t="shared" si="3"/>
        <v>43.22</v>
      </c>
      <c r="L48" s="14">
        <f t="shared" si="4"/>
        <v>992.01702444208297</v>
      </c>
      <c r="M48" s="14">
        <f t="shared" si="1"/>
        <v>-2.9755579170114288E-3</v>
      </c>
      <c r="N48" s="14">
        <f t="shared" si="5"/>
        <v>63.439490445859875</v>
      </c>
      <c r="O48" s="14">
        <f t="shared" si="6"/>
        <v>285.47770700636943</v>
      </c>
      <c r="P48">
        <f t="shared" si="7"/>
        <v>13.32</v>
      </c>
      <c r="Q48" s="14">
        <f t="shared" si="8"/>
        <v>298.79770700636942</v>
      </c>
      <c r="R48" s="14">
        <f t="shared" si="9"/>
        <v>-2.2929936305899901E-3</v>
      </c>
    </row>
    <row r="49" spans="1:18" ht="14.25" customHeight="1">
      <c r="A49" s="4">
        <v>6001</v>
      </c>
      <c r="B49" s="3" t="s">
        <v>6</v>
      </c>
      <c r="C49" s="10" t="s">
        <v>7</v>
      </c>
      <c r="D49" s="5">
        <v>351.9</v>
      </c>
      <c r="E49" s="10">
        <v>1168.31</v>
      </c>
      <c r="F49" t="s">
        <v>14</v>
      </c>
      <c r="G49">
        <v>0.44</v>
      </c>
      <c r="H49">
        <v>1.76</v>
      </c>
      <c r="I49" s="14">
        <f t="shared" si="0"/>
        <v>59.124999999999993</v>
      </c>
      <c r="J49" s="14">
        <f t="shared" si="2"/>
        <v>1064.2499999999998</v>
      </c>
      <c r="K49">
        <f t="shared" si="3"/>
        <v>104.06</v>
      </c>
      <c r="L49" s="14">
        <f t="shared" si="4"/>
        <v>1168.3099999999997</v>
      </c>
      <c r="M49" s="14">
        <f t="shared" si="1"/>
        <v>0</v>
      </c>
      <c r="N49" s="14">
        <f t="shared" si="5"/>
        <v>71.234817813765176</v>
      </c>
      <c r="O49" s="14">
        <f t="shared" si="6"/>
        <v>320.55668016194329</v>
      </c>
      <c r="P49">
        <f t="shared" si="7"/>
        <v>31.34</v>
      </c>
      <c r="Q49" s="14">
        <f t="shared" si="8"/>
        <v>351.89668016194327</v>
      </c>
      <c r="R49" s="14">
        <f t="shared" si="9"/>
        <v>-3.3198380567114327E-3</v>
      </c>
    </row>
    <row r="50" spans="1:18" ht="14.25" customHeight="1">
      <c r="A50" s="4">
        <v>6002</v>
      </c>
      <c r="B50" s="3" t="s">
        <v>6</v>
      </c>
      <c r="C50" s="10" t="s">
        <v>7</v>
      </c>
      <c r="D50" s="5">
        <v>351.9</v>
      </c>
      <c r="E50" s="10">
        <v>1168.31</v>
      </c>
      <c r="F50" t="s">
        <v>14</v>
      </c>
      <c r="G50">
        <v>0.35</v>
      </c>
      <c r="H50">
        <v>1.41</v>
      </c>
      <c r="I50" s="14">
        <f t="shared" si="0"/>
        <v>60.191138588356516</v>
      </c>
      <c r="J50" s="14">
        <f t="shared" si="2"/>
        <v>1083.4404945904173</v>
      </c>
      <c r="K50">
        <f t="shared" si="3"/>
        <v>84.87</v>
      </c>
      <c r="L50" s="14">
        <f t="shared" si="4"/>
        <v>1168.3104945904174</v>
      </c>
      <c r="M50" s="14">
        <f t="shared" si="1"/>
        <v>4.9459041747468291E-4</v>
      </c>
      <c r="N50" s="14">
        <f t="shared" si="5"/>
        <v>72.55670103092784</v>
      </c>
      <c r="O50" s="14">
        <f t="shared" si="6"/>
        <v>326.50515463917526</v>
      </c>
      <c r="P50">
        <f t="shared" si="7"/>
        <v>25.39</v>
      </c>
      <c r="Q50" s="14">
        <f t="shared" si="8"/>
        <v>351.89515463917525</v>
      </c>
      <c r="R50" s="14">
        <f t="shared" si="9"/>
        <v>-4.8453608247314151E-3</v>
      </c>
    </row>
    <row r="51" spans="1:18" ht="14.25" customHeight="1">
      <c r="A51" s="4">
        <v>6003</v>
      </c>
      <c r="B51" s="3" t="s">
        <v>4</v>
      </c>
      <c r="C51" s="10" t="s">
        <v>5</v>
      </c>
      <c r="D51" s="5">
        <v>298.8</v>
      </c>
      <c r="E51" s="10">
        <v>992.02</v>
      </c>
      <c r="F51" t="s">
        <v>14</v>
      </c>
      <c r="G51">
        <v>0.19</v>
      </c>
      <c r="H51">
        <v>0.76</v>
      </c>
      <c r="I51" s="14">
        <f t="shared" si="0"/>
        <v>52.879530916844345</v>
      </c>
      <c r="J51" s="14">
        <f t="shared" si="2"/>
        <v>951.83155650319827</v>
      </c>
      <c r="K51">
        <f t="shared" si="3"/>
        <v>40.19</v>
      </c>
      <c r="L51" s="14">
        <f t="shared" si="4"/>
        <v>992.02155650319833</v>
      </c>
      <c r="M51" s="14">
        <f t="shared" si="1"/>
        <v>1.5565031983442168E-3</v>
      </c>
      <c r="N51" s="14">
        <f t="shared" si="5"/>
        <v>63.710021321961619</v>
      </c>
      <c r="O51" s="14">
        <f t="shared" si="6"/>
        <v>286.69509594882732</v>
      </c>
      <c r="P51">
        <f t="shared" si="7"/>
        <v>12.1</v>
      </c>
      <c r="Q51" s="14">
        <f t="shared" si="8"/>
        <v>298.79509594882734</v>
      </c>
      <c r="R51" s="14">
        <f t="shared" si="9"/>
        <v>-4.9040511726730074E-3</v>
      </c>
    </row>
    <row r="52" spans="1:18" ht="14.25" customHeight="1">
      <c r="A52" s="4">
        <v>6005</v>
      </c>
      <c r="B52" s="3" t="s">
        <v>6</v>
      </c>
      <c r="C52" s="10" t="s">
        <v>7</v>
      </c>
      <c r="D52" s="5">
        <v>351.9</v>
      </c>
      <c r="E52" s="10">
        <v>1168.31</v>
      </c>
      <c r="F52" t="s">
        <v>14</v>
      </c>
      <c r="G52">
        <v>0.36</v>
      </c>
      <c r="H52">
        <v>1.43</v>
      </c>
      <c r="I52" s="14">
        <f t="shared" si="0"/>
        <v>60.129181677817805</v>
      </c>
      <c r="J52" s="14">
        <f t="shared" si="2"/>
        <v>1082.3252702007205</v>
      </c>
      <c r="K52">
        <f t="shared" si="3"/>
        <v>85.98</v>
      </c>
      <c r="L52" s="14">
        <f t="shared" si="4"/>
        <v>1168.3052702007205</v>
      </c>
      <c r="M52" s="14">
        <f t="shared" si="1"/>
        <v>-4.7297992794028687E-3</v>
      </c>
      <c r="N52" s="14">
        <f t="shared" si="5"/>
        <v>72.407407407407405</v>
      </c>
      <c r="O52" s="14">
        <f t="shared" si="6"/>
        <v>325.83333333333331</v>
      </c>
      <c r="P52">
        <f t="shared" si="7"/>
        <v>26.07</v>
      </c>
      <c r="Q52" s="14">
        <f t="shared" si="8"/>
        <v>351.90333333333331</v>
      </c>
      <c r="R52" s="14">
        <f t="shared" si="9"/>
        <v>3.3333333333303017E-3</v>
      </c>
    </row>
    <row r="53" spans="1:18" ht="14.25" customHeight="1">
      <c r="A53" s="4">
        <v>6009</v>
      </c>
      <c r="B53" s="3" t="s">
        <v>4</v>
      </c>
      <c r="C53" s="10" t="s">
        <v>5</v>
      </c>
      <c r="D53" s="5">
        <v>298.8</v>
      </c>
      <c r="E53" s="10">
        <v>992.02</v>
      </c>
      <c r="F53" t="s">
        <v>14</v>
      </c>
      <c r="G53">
        <v>0.22</v>
      </c>
      <c r="H53">
        <v>0.89</v>
      </c>
      <c r="I53" s="14">
        <f t="shared" si="0"/>
        <v>52.515616728427737</v>
      </c>
      <c r="J53" s="14">
        <f t="shared" si="2"/>
        <v>945.28110111169929</v>
      </c>
      <c r="K53">
        <f t="shared" si="3"/>
        <v>46.74</v>
      </c>
      <c r="L53" s="14">
        <f t="shared" si="4"/>
        <v>992.02110111169929</v>
      </c>
      <c r="M53" s="14">
        <f t="shared" si="1"/>
        <v>1.1011116993131509E-3</v>
      </c>
      <c r="N53" s="14">
        <f t="shared" si="5"/>
        <v>63.30508474576272</v>
      </c>
      <c r="O53" s="14">
        <f t="shared" si="6"/>
        <v>284.87288135593224</v>
      </c>
      <c r="P53">
        <f t="shared" si="7"/>
        <v>13.93</v>
      </c>
      <c r="Q53" s="14">
        <f t="shared" si="8"/>
        <v>298.80288135593224</v>
      </c>
      <c r="R53" s="14">
        <f t="shared" si="9"/>
        <v>2.8813559322315996E-3</v>
      </c>
    </row>
    <row r="54" spans="1:18" ht="14.25" customHeight="1">
      <c r="A54" s="4">
        <v>6010</v>
      </c>
      <c r="B54" s="3" t="s">
        <v>6</v>
      </c>
      <c r="C54" s="10" t="s">
        <v>7</v>
      </c>
      <c r="D54" s="5">
        <v>351.9</v>
      </c>
      <c r="E54" s="10">
        <v>1168.31</v>
      </c>
      <c r="F54" t="s">
        <v>14</v>
      </c>
      <c r="G54">
        <v>0.34</v>
      </c>
      <c r="H54">
        <v>1.35</v>
      </c>
      <c r="I54" s="14">
        <f t="shared" si="0"/>
        <v>60.377777777777773</v>
      </c>
      <c r="J54" s="14">
        <f t="shared" si="2"/>
        <v>1086.8</v>
      </c>
      <c r="K54">
        <f t="shared" si="3"/>
        <v>81.510000000000005</v>
      </c>
      <c r="L54" s="14">
        <f t="shared" si="4"/>
        <v>1168.31</v>
      </c>
      <c r="M54" s="14">
        <f t="shared" si="1"/>
        <v>0</v>
      </c>
      <c r="N54" s="14">
        <f t="shared" si="5"/>
        <v>72.706611570247929</v>
      </c>
      <c r="O54" s="14">
        <f t="shared" si="6"/>
        <v>327.17975206611567</v>
      </c>
      <c r="P54">
        <f t="shared" si="7"/>
        <v>24.72</v>
      </c>
      <c r="Q54" s="14">
        <f t="shared" si="8"/>
        <v>351.89975206611564</v>
      </c>
      <c r="R54" s="14">
        <f t="shared" si="9"/>
        <v>-2.4793388433863583E-4</v>
      </c>
    </row>
    <row r="55" spans="1:18" ht="14.25" customHeight="1">
      <c r="A55" s="4">
        <v>6011</v>
      </c>
      <c r="B55" s="6" t="s">
        <v>4</v>
      </c>
      <c r="C55" s="11" t="s">
        <v>5</v>
      </c>
      <c r="D55" s="7">
        <v>298.8</v>
      </c>
      <c r="E55" s="11">
        <v>992.02</v>
      </c>
      <c r="F55" t="s">
        <v>14</v>
      </c>
      <c r="G55">
        <v>0.25</v>
      </c>
      <c r="H55">
        <v>0.98</v>
      </c>
      <c r="I55" s="14">
        <f t="shared" si="0"/>
        <v>52.266596417281349</v>
      </c>
      <c r="J55" s="14">
        <f t="shared" si="2"/>
        <v>940.79873551106425</v>
      </c>
      <c r="K55">
        <f t="shared" si="3"/>
        <v>51.22</v>
      </c>
      <c r="L55" s="14">
        <f t="shared" si="4"/>
        <v>992.01873551106428</v>
      </c>
      <c r="M55" s="14">
        <f t="shared" si="1"/>
        <v>-1.2644889357034117E-3</v>
      </c>
      <c r="N55" s="14">
        <f t="shared" si="5"/>
        <v>62.905263157894737</v>
      </c>
      <c r="O55" s="14">
        <f t="shared" si="6"/>
        <v>283.07368421052632</v>
      </c>
      <c r="P55">
        <f t="shared" si="7"/>
        <v>15.73</v>
      </c>
      <c r="Q55" s="14">
        <f t="shared" si="8"/>
        <v>298.80368421052634</v>
      </c>
      <c r="R55" s="14">
        <f t="shared" si="9"/>
        <v>3.6842105263303893E-3</v>
      </c>
    </row>
    <row r="56" spans="1:18" ht="14.25" customHeight="1">
      <c r="A56" s="4">
        <v>6016</v>
      </c>
      <c r="B56" s="3" t="s">
        <v>6</v>
      </c>
      <c r="C56" s="10" t="s">
        <v>7</v>
      </c>
      <c r="D56" s="5">
        <v>351.9</v>
      </c>
      <c r="E56" s="10">
        <v>1168.31</v>
      </c>
      <c r="F56" t="s">
        <v>14</v>
      </c>
      <c r="G56">
        <v>0.44</v>
      </c>
      <c r="H56">
        <v>1.77</v>
      </c>
      <c r="I56" s="14">
        <f t="shared" si="0"/>
        <v>59.095093576125443</v>
      </c>
      <c r="J56" s="14">
        <f t="shared" si="2"/>
        <v>1063.7116843702579</v>
      </c>
      <c r="K56">
        <f t="shared" si="3"/>
        <v>104.6</v>
      </c>
      <c r="L56" s="14">
        <f t="shared" si="4"/>
        <v>1168.3116843702578</v>
      </c>
      <c r="M56" s="14">
        <f t="shared" si="1"/>
        <v>1.6843702578626107E-3</v>
      </c>
      <c r="N56" s="14">
        <f t="shared" si="5"/>
        <v>71.234817813765176</v>
      </c>
      <c r="O56" s="14">
        <f t="shared" si="6"/>
        <v>320.55668016194329</v>
      </c>
      <c r="P56">
        <f t="shared" si="7"/>
        <v>31.34</v>
      </c>
      <c r="Q56" s="14">
        <f t="shared" si="8"/>
        <v>351.89668016194327</v>
      </c>
      <c r="R56" s="14">
        <f t="shared" si="9"/>
        <v>-3.3198380567114327E-3</v>
      </c>
    </row>
    <row r="57" spans="1:18" ht="14.25" customHeight="1">
      <c r="A57" s="4">
        <v>6017</v>
      </c>
      <c r="B57" s="3" t="s">
        <v>6</v>
      </c>
      <c r="C57" s="10" t="s">
        <v>7</v>
      </c>
      <c r="D57" s="5">
        <v>351.9</v>
      </c>
      <c r="E57" s="10">
        <v>1168.31</v>
      </c>
      <c r="F57" t="s">
        <v>14</v>
      </c>
      <c r="G57">
        <v>0.33</v>
      </c>
      <c r="H57">
        <v>1.33</v>
      </c>
      <c r="I57" s="14">
        <f t="shared" si="0"/>
        <v>60.440248318675636</v>
      </c>
      <c r="J57" s="14">
        <f t="shared" si="2"/>
        <v>1087.9244697361614</v>
      </c>
      <c r="K57">
        <f t="shared" si="3"/>
        <v>80.39</v>
      </c>
      <c r="L57" s="14">
        <f t="shared" si="4"/>
        <v>1168.3144697361615</v>
      </c>
      <c r="M57" s="14">
        <f t="shared" si="1"/>
        <v>4.4697361615817499E-3</v>
      </c>
      <c r="N57" s="14">
        <f t="shared" si="5"/>
        <v>72.857142857142847</v>
      </c>
      <c r="O57" s="14">
        <f t="shared" si="6"/>
        <v>327.85714285714283</v>
      </c>
      <c r="P57">
        <f t="shared" si="7"/>
        <v>24.04</v>
      </c>
      <c r="Q57" s="14">
        <f t="shared" si="8"/>
        <v>351.89714285714285</v>
      </c>
      <c r="R57" s="14">
        <f t="shared" si="9"/>
        <v>-2.8571428571240176E-3</v>
      </c>
    </row>
    <row r="58" spans="1:18" ht="14.25" customHeight="1">
      <c r="A58" s="4">
        <v>6018</v>
      </c>
      <c r="B58" s="3" t="s">
        <v>6</v>
      </c>
      <c r="C58" s="10" t="s">
        <v>7</v>
      </c>
      <c r="D58" s="5">
        <v>351.9</v>
      </c>
      <c r="E58" s="10">
        <v>1168.31</v>
      </c>
      <c r="F58" t="s">
        <v>14</v>
      </c>
      <c r="G58">
        <v>0.44</v>
      </c>
      <c r="H58">
        <v>1.77</v>
      </c>
      <c r="I58" s="14">
        <f t="shared" si="0"/>
        <v>59.095093576125443</v>
      </c>
      <c r="J58" s="14">
        <f t="shared" si="2"/>
        <v>1063.7116843702579</v>
      </c>
      <c r="K58">
        <f t="shared" si="3"/>
        <v>104.6</v>
      </c>
      <c r="L58" s="14">
        <f t="shared" si="4"/>
        <v>1168.3116843702578</v>
      </c>
      <c r="M58" s="14">
        <f t="shared" si="1"/>
        <v>1.6843702578626107E-3</v>
      </c>
      <c r="N58" s="14">
        <f t="shared" si="5"/>
        <v>71.234817813765176</v>
      </c>
      <c r="O58" s="14">
        <f t="shared" si="6"/>
        <v>320.55668016194329</v>
      </c>
      <c r="P58">
        <f t="shared" si="7"/>
        <v>31.34</v>
      </c>
      <c r="Q58" s="14">
        <f t="shared" si="8"/>
        <v>351.89668016194327</v>
      </c>
      <c r="R58" s="14">
        <f t="shared" si="9"/>
        <v>-3.3198380567114327E-3</v>
      </c>
    </row>
    <row r="59" spans="1:18" ht="14.25" customHeight="1">
      <c r="A59" s="4">
        <v>6019</v>
      </c>
      <c r="B59" s="3" t="s">
        <v>6</v>
      </c>
      <c r="C59" s="10" t="s">
        <v>7</v>
      </c>
      <c r="D59" s="5">
        <v>351.9</v>
      </c>
      <c r="E59" s="10">
        <v>1168.31</v>
      </c>
      <c r="F59" t="s">
        <v>12</v>
      </c>
      <c r="G59">
        <v>0.09</v>
      </c>
      <c r="H59">
        <v>0.36</v>
      </c>
      <c r="I59" s="14">
        <f t="shared" si="0"/>
        <v>63.633442265795203</v>
      </c>
      <c r="J59" s="14">
        <f t="shared" si="2"/>
        <v>1145.4019607843136</v>
      </c>
      <c r="K59">
        <f t="shared" si="3"/>
        <v>22.91</v>
      </c>
      <c r="L59" s="14">
        <f t="shared" si="4"/>
        <v>1168.3119607843137</v>
      </c>
      <c r="M59" s="14">
        <f t="shared" si="1"/>
        <v>1.9607843137237069E-3</v>
      </c>
      <c r="N59" s="14">
        <f t="shared" si="5"/>
        <v>76.666666666666657</v>
      </c>
      <c r="O59" s="14">
        <f t="shared" si="6"/>
        <v>344.99999999999994</v>
      </c>
      <c r="P59">
        <f t="shared" si="7"/>
        <v>6.9</v>
      </c>
      <c r="Q59" s="14">
        <f t="shared" si="8"/>
        <v>351.89999999999992</v>
      </c>
      <c r="R59" s="14">
        <f t="shared" si="9"/>
        <v>0</v>
      </c>
    </row>
    <row r="60" spans="1:18" ht="14.25" customHeight="1">
      <c r="A60" s="4">
        <v>6020</v>
      </c>
      <c r="B60" s="3" t="s">
        <v>4</v>
      </c>
      <c r="C60" s="10" t="s">
        <v>5</v>
      </c>
      <c r="D60" s="5">
        <v>298.8</v>
      </c>
      <c r="E60" s="10">
        <v>992.02</v>
      </c>
      <c r="F60" t="s">
        <v>14</v>
      </c>
      <c r="G60">
        <v>0.21</v>
      </c>
      <c r="H60">
        <v>0.82</v>
      </c>
      <c r="I60" s="14">
        <f t="shared" si="0"/>
        <v>52.710945802337939</v>
      </c>
      <c r="J60" s="14">
        <f t="shared" si="2"/>
        <v>948.79702444208294</v>
      </c>
      <c r="K60">
        <f t="shared" si="3"/>
        <v>43.22</v>
      </c>
      <c r="L60" s="14">
        <f t="shared" si="4"/>
        <v>992.01702444208297</v>
      </c>
      <c r="M60" s="14">
        <f t="shared" si="1"/>
        <v>-2.9755579170114288E-3</v>
      </c>
      <c r="N60" s="14">
        <f t="shared" si="5"/>
        <v>63.439490445859875</v>
      </c>
      <c r="O60" s="14">
        <f t="shared" si="6"/>
        <v>285.47770700636943</v>
      </c>
      <c r="P60">
        <f t="shared" si="7"/>
        <v>13.32</v>
      </c>
      <c r="Q60" s="14">
        <f t="shared" si="8"/>
        <v>298.79770700636942</v>
      </c>
      <c r="R60" s="14">
        <f t="shared" si="9"/>
        <v>-2.2929936305899901E-3</v>
      </c>
    </row>
    <row r="61" spans="1:18" ht="14.25" customHeight="1">
      <c r="A61" s="4">
        <v>6021</v>
      </c>
      <c r="B61" s="3" t="s">
        <v>6</v>
      </c>
      <c r="C61" s="10" t="s">
        <v>7</v>
      </c>
      <c r="D61" s="5">
        <v>351.9</v>
      </c>
      <c r="E61" s="10">
        <v>1168.31</v>
      </c>
      <c r="F61" t="s">
        <v>10</v>
      </c>
      <c r="G61">
        <v>0.13</v>
      </c>
      <c r="H61">
        <v>0.51</v>
      </c>
      <c r="I61" s="14">
        <f t="shared" si="0"/>
        <v>63.11777417612101</v>
      </c>
      <c r="J61" s="14">
        <f t="shared" si="2"/>
        <v>1136.1199351701782</v>
      </c>
      <c r="K61">
        <f t="shared" si="3"/>
        <v>32.19</v>
      </c>
      <c r="L61" s="14">
        <f t="shared" si="4"/>
        <v>1168.3099351701783</v>
      </c>
      <c r="M61" s="14">
        <f t="shared" si="1"/>
        <v>-6.4829821667444776E-5</v>
      </c>
      <c r="N61" s="14">
        <f t="shared" si="5"/>
        <v>76.004319654427647</v>
      </c>
      <c r="O61" s="14">
        <f t="shared" si="6"/>
        <v>342.01943844492439</v>
      </c>
      <c r="P61">
        <f t="shared" si="7"/>
        <v>9.8800000000000008</v>
      </c>
      <c r="Q61" s="14">
        <f t="shared" si="8"/>
        <v>351.89943844492439</v>
      </c>
      <c r="R61" s="14">
        <f t="shared" si="9"/>
        <v>-5.6155507559196849E-4</v>
      </c>
    </row>
    <row r="62" spans="1:18" ht="14.25" customHeight="1">
      <c r="A62" s="4">
        <v>6024</v>
      </c>
      <c r="B62" s="3" t="s">
        <v>6</v>
      </c>
      <c r="C62" s="10" t="s">
        <v>7</v>
      </c>
      <c r="D62" s="5">
        <v>351.9</v>
      </c>
      <c r="E62" s="10">
        <v>1168.31</v>
      </c>
      <c r="F62" t="s">
        <v>14</v>
      </c>
      <c r="G62">
        <v>0.44</v>
      </c>
      <c r="H62">
        <v>1.77</v>
      </c>
      <c r="I62" s="14">
        <f t="shared" si="0"/>
        <v>59.095093576125443</v>
      </c>
      <c r="J62" s="14">
        <f t="shared" si="2"/>
        <v>1063.7116843702579</v>
      </c>
      <c r="K62">
        <f t="shared" si="3"/>
        <v>104.6</v>
      </c>
      <c r="L62" s="14">
        <f t="shared" si="4"/>
        <v>1168.3116843702578</v>
      </c>
      <c r="M62" s="14">
        <f t="shared" si="1"/>
        <v>1.6843702578626107E-3</v>
      </c>
      <c r="N62" s="14">
        <f t="shared" si="5"/>
        <v>71.234817813765176</v>
      </c>
      <c r="O62" s="14">
        <f t="shared" si="6"/>
        <v>320.55668016194329</v>
      </c>
      <c r="P62">
        <f t="shared" si="7"/>
        <v>31.34</v>
      </c>
      <c r="Q62" s="14">
        <f t="shared" si="8"/>
        <v>351.89668016194327</v>
      </c>
      <c r="R62" s="14">
        <f t="shared" si="9"/>
        <v>-3.3198380567114327E-3</v>
      </c>
    </row>
    <row r="63" spans="1:18" ht="14.25" customHeight="1">
      <c r="A63" s="4">
        <v>6025</v>
      </c>
      <c r="B63" s="3" t="s">
        <v>4</v>
      </c>
      <c r="C63" s="10" t="s">
        <v>5</v>
      </c>
      <c r="D63" s="5">
        <v>298.8</v>
      </c>
      <c r="E63" s="10">
        <v>992.02</v>
      </c>
      <c r="F63" t="s">
        <v>14</v>
      </c>
      <c r="G63">
        <v>0.28000000000000003</v>
      </c>
      <c r="H63">
        <v>1.1000000000000001</v>
      </c>
      <c r="I63" s="14">
        <f t="shared" si="0"/>
        <v>51.938219895287951</v>
      </c>
      <c r="J63" s="14">
        <f t="shared" si="2"/>
        <v>934.8879581151831</v>
      </c>
      <c r="K63">
        <f t="shared" si="3"/>
        <v>57.13</v>
      </c>
      <c r="L63" s="14">
        <f t="shared" si="4"/>
        <v>992.01795811518309</v>
      </c>
      <c r="M63" s="14">
        <f t="shared" si="1"/>
        <v>-2.0418848168901604E-3</v>
      </c>
      <c r="N63" s="14">
        <f t="shared" si="5"/>
        <v>62.510460251046027</v>
      </c>
      <c r="O63" s="14">
        <f t="shared" si="6"/>
        <v>281.29707112970709</v>
      </c>
      <c r="P63">
        <f t="shared" si="7"/>
        <v>17.5</v>
      </c>
      <c r="Q63" s="14">
        <f t="shared" si="8"/>
        <v>298.79707112970709</v>
      </c>
      <c r="R63" s="14">
        <f t="shared" si="9"/>
        <v>-2.9288702929193278E-3</v>
      </c>
    </row>
    <row r="64" spans="1:18" ht="14.25" customHeight="1">
      <c r="A64" s="4">
        <v>6026</v>
      </c>
      <c r="B64" s="3" t="s">
        <v>6</v>
      </c>
      <c r="C64" s="10" t="s">
        <v>7</v>
      </c>
      <c r="D64" s="5">
        <v>351.9</v>
      </c>
      <c r="E64" s="10">
        <v>1168.31</v>
      </c>
      <c r="F64" t="s">
        <v>14</v>
      </c>
      <c r="G64">
        <v>0.43</v>
      </c>
      <c r="H64">
        <v>1.71</v>
      </c>
      <c r="I64" s="14">
        <f t="shared" si="0"/>
        <v>59.274987316083198</v>
      </c>
      <c r="J64" s="14">
        <f t="shared" si="2"/>
        <v>1066.9497716894975</v>
      </c>
      <c r="K64">
        <f t="shared" si="3"/>
        <v>101.36</v>
      </c>
      <c r="L64" s="14">
        <f t="shared" si="4"/>
        <v>1168.3097716894974</v>
      </c>
      <c r="M64" s="14">
        <f t="shared" si="1"/>
        <v>-2.2831050250715634E-4</v>
      </c>
      <c r="N64" s="14">
        <f t="shared" si="5"/>
        <v>71.379310344827587</v>
      </c>
      <c r="O64" s="14">
        <f t="shared" si="6"/>
        <v>321.20689655172413</v>
      </c>
      <c r="P64">
        <f t="shared" si="7"/>
        <v>30.69</v>
      </c>
      <c r="Q64" s="14">
        <f t="shared" si="8"/>
        <v>351.89689655172413</v>
      </c>
      <c r="R64" s="14">
        <f t="shared" si="9"/>
        <v>-3.1034482758514059E-3</v>
      </c>
    </row>
    <row r="65" spans="1:18" ht="14.25" customHeight="1">
      <c r="A65" s="4">
        <v>6028</v>
      </c>
      <c r="B65" s="3" t="s">
        <v>4</v>
      </c>
      <c r="C65" s="10" t="s">
        <v>5</v>
      </c>
      <c r="D65" s="5">
        <v>298.8</v>
      </c>
      <c r="E65" s="10">
        <v>992.02</v>
      </c>
      <c r="F65" t="s">
        <v>14</v>
      </c>
      <c r="G65">
        <v>0.2</v>
      </c>
      <c r="H65">
        <v>0.79</v>
      </c>
      <c r="I65" s="14">
        <f t="shared" si="0"/>
        <v>52.795103778605643</v>
      </c>
      <c r="J65" s="14">
        <f t="shared" si="2"/>
        <v>950.31186801490162</v>
      </c>
      <c r="K65">
        <f t="shared" si="3"/>
        <v>41.71</v>
      </c>
      <c r="L65" s="14">
        <f t="shared" si="4"/>
        <v>992.02186801490166</v>
      </c>
      <c r="M65" s="14">
        <f t="shared" si="1"/>
        <v>1.8680149016745418E-3</v>
      </c>
      <c r="N65" s="14">
        <f t="shared" si="5"/>
        <v>63.574468085106382</v>
      </c>
      <c r="O65" s="14">
        <f t="shared" si="6"/>
        <v>286.08510638297872</v>
      </c>
      <c r="P65">
        <f t="shared" si="7"/>
        <v>12.71</v>
      </c>
      <c r="Q65" s="14">
        <f t="shared" si="8"/>
        <v>298.7951063829787</v>
      </c>
      <c r="R65" s="14">
        <f t="shared" si="9"/>
        <v>-4.8936170213096375E-3</v>
      </c>
    </row>
    <row r="66" spans="1:18" ht="14.25" customHeight="1">
      <c r="A66" s="4">
        <v>6029</v>
      </c>
      <c r="B66" s="3" t="s">
        <v>6</v>
      </c>
      <c r="C66" s="10" t="s">
        <v>7</v>
      </c>
      <c r="D66" s="5">
        <v>351.9</v>
      </c>
      <c r="E66" s="10">
        <v>1168.31</v>
      </c>
      <c r="F66" t="s">
        <v>14</v>
      </c>
      <c r="G66">
        <v>0.44</v>
      </c>
      <c r="H66">
        <v>1.77</v>
      </c>
      <c r="I66" s="14">
        <f t="shared" si="0"/>
        <v>59.095093576125443</v>
      </c>
      <c r="J66" s="14">
        <f t="shared" si="2"/>
        <v>1063.7116843702579</v>
      </c>
      <c r="K66">
        <f t="shared" si="3"/>
        <v>104.6</v>
      </c>
      <c r="L66" s="14">
        <f t="shared" si="4"/>
        <v>1168.3116843702578</v>
      </c>
      <c r="M66" s="14">
        <f t="shared" si="1"/>
        <v>1.6843702578626107E-3</v>
      </c>
      <c r="N66" s="14">
        <f t="shared" si="5"/>
        <v>71.234817813765176</v>
      </c>
      <c r="O66" s="14">
        <f t="shared" si="6"/>
        <v>320.55668016194329</v>
      </c>
      <c r="P66">
        <f t="shared" si="7"/>
        <v>31.34</v>
      </c>
      <c r="Q66" s="14">
        <f t="shared" si="8"/>
        <v>351.89668016194327</v>
      </c>
      <c r="R66" s="14">
        <f t="shared" si="9"/>
        <v>-3.3198380567114327E-3</v>
      </c>
    </row>
    <row r="67" spans="1:18" ht="14.25" customHeight="1">
      <c r="A67" s="4">
        <v>6031</v>
      </c>
      <c r="B67" s="3" t="s">
        <v>4</v>
      </c>
      <c r="C67" s="10" t="s">
        <v>5</v>
      </c>
      <c r="D67" s="5">
        <v>298.8</v>
      </c>
      <c r="E67" s="10">
        <v>992.02</v>
      </c>
      <c r="F67" t="s">
        <v>14</v>
      </c>
      <c r="G67">
        <v>0.31</v>
      </c>
      <c r="H67">
        <v>1.23</v>
      </c>
      <c r="I67" s="14">
        <f t="shared" si="0"/>
        <v>51.587103484139362</v>
      </c>
      <c r="J67" s="14">
        <f t="shared" si="2"/>
        <v>928.56786271450846</v>
      </c>
      <c r="K67">
        <f t="shared" si="3"/>
        <v>63.45</v>
      </c>
      <c r="L67" s="14">
        <f t="shared" si="4"/>
        <v>992.01786271450851</v>
      </c>
      <c r="M67" s="14">
        <f t="shared" si="1"/>
        <v>-2.1372854914716299E-3</v>
      </c>
      <c r="N67" s="14">
        <f t="shared" si="5"/>
        <v>62.120582120582128</v>
      </c>
      <c r="O67" s="14">
        <f t="shared" si="6"/>
        <v>279.5426195426196</v>
      </c>
      <c r="P67">
        <f t="shared" si="7"/>
        <v>19.260000000000002</v>
      </c>
      <c r="Q67" s="14">
        <f t="shared" si="8"/>
        <v>298.8026195426196</v>
      </c>
      <c r="R67" s="14">
        <f t="shared" si="9"/>
        <v>2.619542619584081E-3</v>
      </c>
    </row>
    <row r="68" spans="1:18" ht="14.25" customHeight="1">
      <c r="A68" s="4">
        <v>6032</v>
      </c>
      <c r="B68" s="3" t="s">
        <v>6</v>
      </c>
      <c r="C68" s="10" t="s">
        <v>7</v>
      </c>
      <c r="D68" s="5">
        <v>351.9</v>
      </c>
      <c r="E68" s="10">
        <v>1168.31</v>
      </c>
      <c r="F68" t="s">
        <v>14</v>
      </c>
      <c r="G68">
        <v>0.4</v>
      </c>
      <c r="H68">
        <v>1.6</v>
      </c>
      <c r="I68" s="14">
        <f t="shared" ref="I68:I123" si="10">+E68/(18+H68)</f>
        <v>59.607653061224482</v>
      </c>
      <c r="J68" s="14">
        <f t="shared" si="2"/>
        <v>1072.9377551020407</v>
      </c>
      <c r="K68">
        <f t="shared" si="3"/>
        <v>95.37</v>
      </c>
      <c r="L68" s="14">
        <f t="shared" si="4"/>
        <v>1168.3077551020406</v>
      </c>
      <c r="M68" s="14">
        <f t="shared" ref="M68:M123" si="11">+L68-E68</f>
        <v>-2.2448979593718832E-3</v>
      </c>
      <c r="N68" s="14">
        <f t="shared" si="5"/>
        <v>71.81632653061223</v>
      </c>
      <c r="O68" s="14">
        <f t="shared" si="6"/>
        <v>323.17346938775506</v>
      </c>
      <c r="P68">
        <f t="shared" si="7"/>
        <v>28.73</v>
      </c>
      <c r="Q68" s="14">
        <f t="shared" si="8"/>
        <v>351.90346938775508</v>
      </c>
      <c r="R68" s="14">
        <f t="shared" si="9"/>
        <v>3.4693877551035257E-3</v>
      </c>
    </row>
    <row r="69" spans="1:18" ht="14.25" customHeight="1">
      <c r="A69" s="4">
        <v>6033</v>
      </c>
      <c r="B69" s="3" t="s">
        <v>6</v>
      </c>
      <c r="C69" s="10" t="s">
        <v>7</v>
      </c>
      <c r="D69" s="5">
        <v>351.9</v>
      </c>
      <c r="E69" s="10">
        <v>1168.31</v>
      </c>
      <c r="F69" t="s">
        <v>10</v>
      </c>
      <c r="G69">
        <v>0.2</v>
      </c>
      <c r="H69">
        <v>0.79</v>
      </c>
      <c r="I69" s="14">
        <f t="shared" si="10"/>
        <v>62.177221926556676</v>
      </c>
      <c r="J69" s="14">
        <f t="shared" ref="J69:J123" si="12">18*I69</f>
        <v>1119.1899946780202</v>
      </c>
      <c r="K69">
        <f t="shared" ref="K69:K123" si="13">+ROUND(I69*H69,2)</f>
        <v>49.12</v>
      </c>
      <c r="L69" s="14">
        <f t="shared" ref="L69:L123" si="14">+J69+K69</f>
        <v>1168.3099946780201</v>
      </c>
      <c r="M69" s="14">
        <f t="shared" si="11"/>
        <v>-5.3219798701320542E-6</v>
      </c>
      <c r="N69" s="14">
        <f t="shared" ref="N69:N123" si="15">+D69/(4.5+G69)</f>
        <v>74.872340425531902</v>
      </c>
      <c r="O69" s="14">
        <f t="shared" ref="O69:O123" si="16">4.5*N69</f>
        <v>336.92553191489355</v>
      </c>
      <c r="P69">
        <f t="shared" ref="P69:P123" si="17">+ROUND(G69*N69,2)</f>
        <v>14.97</v>
      </c>
      <c r="Q69" s="14">
        <f t="shared" ref="Q69:Q123" si="18">+O69+P69</f>
        <v>351.89553191489358</v>
      </c>
      <c r="R69" s="14">
        <f t="shared" ref="R69:R123" si="19">+Q69-D69</f>
        <v>-4.4680851063958471E-3</v>
      </c>
    </row>
    <row r="70" spans="1:18" ht="14.25" customHeight="1">
      <c r="A70" s="4">
        <v>6034</v>
      </c>
      <c r="B70" s="3" t="s">
        <v>4</v>
      </c>
      <c r="C70" s="10" t="s">
        <v>5</v>
      </c>
      <c r="D70" s="5">
        <v>298.8</v>
      </c>
      <c r="E70" s="10">
        <v>992.02</v>
      </c>
      <c r="F70" t="s">
        <v>10</v>
      </c>
      <c r="G70">
        <v>0.04</v>
      </c>
      <c r="H70">
        <v>0.16</v>
      </c>
      <c r="I70" s="14">
        <f t="shared" si="10"/>
        <v>54.626651982378853</v>
      </c>
      <c r="J70" s="14">
        <f t="shared" si="12"/>
        <v>983.27973568281936</v>
      </c>
      <c r="K70">
        <f t="shared" si="13"/>
        <v>8.74</v>
      </c>
      <c r="L70" s="14">
        <f t="shared" si="14"/>
        <v>992.01973568281937</v>
      </c>
      <c r="M70" s="14">
        <f t="shared" si="11"/>
        <v>-2.6431718060848652E-4</v>
      </c>
      <c r="N70" s="14">
        <f t="shared" si="15"/>
        <v>65.81497797356829</v>
      </c>
      <c r="O70" s="14">
        <f t="shared" si="16"/>
        <v>296.16740088105729</v>
      </c>
      <c r="P70">
        <f t="shared" si="17"/>
        <v>2.63</v>
      </c>
      <c r="Q70" s="14">
        <f t="shared" si="18"/>
        <v>298.79740088105729</v>
      </c>
      <c r="R70" s="14">
        <f t="shared" si="19"/>
        <v>-2.5991189427259087E-3</v>
      </c>
    </row>
    <row r="71" spans="1:18" ht="14.25" customHeight="1">
      <c r="A71" s="4">
        <v>6037</v>
      </c>
      <c r="B71" s="3" t="s">
        <v>8</v>
      </c>
      <c r="C71" s="10" t="s">
        <v>9</v>
      </c>
      <c r="D71" s="5">
        <v>423.45</v>
      </c>
      <c r="E71" s="10">
        <v>1405.85</v>
      </c>
      <c r="F71" t="s">
        <v>14</v>
      </c>
      <c r="G71">
        <v>0.42</v>
      </c>
      <c r="H71">
        <v>1.68</v>
      </c>
      <c r="I71" s="14">
        <f t="shared" si="10"/>
        <v>71.435467479674799</v>
      </c>
      <c r="J71" s="14">
        <f t="shared" si="12"/>
        <v>1285.8384146341464</v>
      </c>
      <c r="K71">
        <f t="shared" si="13"/>
        <v>120.01</v>
      </c>
      <c r="L71" s="14">
        <f t="shared" si="14"/>
        <v>1405.8484146341464</v>
      </c>
      <c r="M71" s="14">
        <f t="shared" si="11"/>
        <v>-1.5853658535434079E-3</v>
      </c>
      <c r="N71" s="14">
        <f t="shared" si="15"/>
        <v>86.067073170731703</v>
      </c>
      <c r="O71" s="14">
        <f t="shared" si="16"/>
        <v>387.30182926829264</v>
      </c>
      <c r="P71">
        <f t="shared" si="17"/>
        <v>36.15</v>
      </c>
      <c r="Q71" s="14">
        <f t="shared" si="18"/>
        <v>423.45182926829261</v>
      </c>
      <c r="R71" s="14">
        <f t="shared" si="19"/>
        <v>1.8292682926244197E-3</v>
      </c>
    </row>
    <row r="72" spans="1:18" ht="14.25" customHeight="1">
      <c r="A72" s="4">
        <v>7000</v>
      </c>
      <c r="B72" s="3" t="s">
        <v>4</v>
      </c>
      <c r="C72" s="10" t="s">
        <v>5</v>
      </c>
      <c r="D72" s="5">
        <v>298.8</v>
      </c>
      <c r="E72" s="10">
        <v>992.02</v>
      </c>
      <c r="F72" t="s">
        <v>10</v>
      </c>
      <c r="G72">
        <v>0.04</v>
      </c>
      <c r="H72">
        <v>0.17</v>
      </c>
      <c r="I72" s="14">
        <f t="shared" si="10"/>
        <v>54.596587782058329</v>
      </c>
      <c r="J72" s="14">
        <f t="shared" si="12"/>
        <v>982.73858007704996</v>
      </c>
      <c r="K72">
        <f t="shared" si="13"/>
        <v>9.2799999999999994</v>
      </c>
      <c r="L72" s="14">
        <f t="shared" si="14"/>
        <v>992.01858007704993</v>
      </c>
      <c r="M72" s="14">
        <f t="shared" si="11"/>
        <v>-1.4199229500491128E-3</v>
      </c>
      <c r="N72" s="14">
        <f t="shared" si="15"/>
        <v>65.81497797356829</v>
      </c>
      <c r="O72" s="14">
        <f t="shared" si="16"/>
        <v>296.16740088105729</v>
      </c>
      <c r="P72">
        <f t="shared" si="17"/>
        <v>2.63</v>
      </c>
      <c r="Q72" s="14">
        <f t="shared" si="18"/>
        <v>298.79740088105729</v>
      </c>
      <c r="R72" s="14">
        <f t="shared" si="19"/>
        <v>-2.5991189427259087E-3</v>
      </c>
    </row>
    <row r="73" spans="1:18" ht="14.25" customHeight="1">
      <c r="A73" s="4">
        <v>7001</v>
      </c>
      <c r="B73" s="3" t="s">
        <v>4</v>
      </c>
      <c r="C73" s="10" t="s">
        <v>5</v>
      </c>
      <c r="D73" s="5">
        <v>298.8</v>
      </c>
      <c r="E73" s="10">
        <v>992.02</v>
      </c>
      <c r="F73" t="s">
        <v>10</v>
      </c>
      <c r="G73">
        <v>0.03</v>
      </c>
      <c r="H73">
        <v>0.12</v>
      </c>
      <c r="I73" s="14">
        <f t="shared" si="10"/>
        <v>54.747240618101543</v>
      </c>
      <c r="J73" s="14">
        <f t="shared" si="12"/>
        <v>985.4503311258278</v>
      </c>
      <c r="K73">
        <f t="shared" si="13"/>
        <v>6.57</v>
      </c>
      <c r="L73" s="14">
        <f t="shared" si="14"/>
        <v>992.02033112582785</v>
      </c>
      <c r="M73" s="14">
        <f t="shared" si="11"/>
        <v>3.3112582786998246E-4</v>
      </c>
      <c r="N73" s="14">
        <f t="shared" si="15"/>
        <v>65.960264900662253</v>
      </c>
      <c r="O73" s="14">
        <f t="shared" si="16"/>
        <v>296.82119205298011</v>
      </c>
      <c r="P73">
        <f t="shared" si="17"/>
        <v>1.98</v>
      </c>
      <c r="Q73" s="14">
        <f t="shared" si="18"/>
        <v>298.80119205298013</v>
      </c>
      <c r="R73" s="14">
        <f t="shared" si="19"/>
        <v>1.1920529801159319E-3</v>
      </c>
    </row>
    <row r="74" spans="1:18" ht="14.25" customHeight="1">
      <c r="A74" s="4">
        <v>7004</v>
      </c>
      <c r="B74" s="3" t="s">
        <v>4</v>
      </c>
      <c r="C74" s="10" t="s">
        <v>5</v>
      </c>
      <c r="D74" s="5">
        <v>298.8</v>
      </c>
      <c r="E74" s="10">
        <v>992.02</v>
      </c>
      <c r="F74" t="s">
        <v>10</v>
      </c>
      <c r="G74">
        <v>0.02</v>
      </c>
      <c r="H74">
        <v>0.09</v>
      </c>
      <c r="I74" s="14">
        <f t="shared" si="10"/>
        <v>54.838032061912656</v>
      </c>
      <c r="J74" s="14">
        <f t="shared" si="12"/>
        <v>987.08457711442782</v>
      </c>
      <c r="K74">
        <f t="shared" si="13"/>
        <v>4.9400000000000004</v>
      </c>
      <c r="L74" s="14">
        <f t="shared" si="14"/>
        <v>992.02457711442787</v>
      </c>
      <c r="M74" s="14">
        <f t="shared" si="11"/>
        <v>4.5771144278887732E-3</v>
      </c>
      <c r="N74" s="14">
        <f t="shared" si="15"/>
        <v>66.106194690265497</v>
      </c>
      <c r="O74" s="14">
        <f t="shared" si="16"/>
        <v>297.47787610619474</v>
      </c>
      <c r="P74">
        <f t="shared" si="17"/>
        <v>1.32</v>
      </c>
      <c r="Q74" s="14">
        <f t="shared" si="18"/>
        <v>298.79787610619474</v>
      </c>
      <c r="R74" s="14">
        <f t="shared" si="19"/>
        <v>-2.1238938052761114E-3</v>
      </c>
    </row>
    <row r="75" spans="1:18" ht="14.25" customHeight="1">
      <c r="A75" s="4">
        <v>7005</v>
      </c>
      <c r="B75" s="3" t="s">
        <v>4</v>
      </c>
      <c r="C75" s="10" t="s">
        <v>5</v>
      </c>
      <c r="D75" s="5">
        <v>298.8</v>
      </c>
      <c r="E75" s="10">
        <v>992.02</v>
      </c>
      <c r="F75" t="s">
        <v>14</v>
      </c>
      <c r="G75">
        <v>0.17</v>
      </c>
      <c r="H75">
        <v>0.7</v>
      </c>
      <c r="I75" s="14">
        <f t="shared" si="10"/>
        <v>53.049197860962565</v>
      </c>
      <c r="J75" s="14">
        <f t="shared" si="12"/>
        <v>954.88556149732619</v>
      </c>
      <c r="K75">
        <f t="shared" si="13"/>
        <v>37.130000000000003</v>
      </c>
      <c r="L75" s="14">
        <f t="shared" si="14"/>
        <v>992.01556149732619</v>
      </c>
      <c r="M75" s="14">
        <f t="shared" si="11"/>
        <v>-4.4385026737927546E-3</v>
      </c>
      <c r="N75" s="14">
        <f t="shared" si="15"/>
        <v>63.982869379014993</v>
      </c>
      <c r="O75" s="14">
        <f t="shared" si="16"/>
        <v>287.92291220556746</v>
      </c>
      <c r="P75">
        <f t="shared" si="17"/>
        <v>10.88</v>
      </c>
      <c r="Q75" s="14">
        <f t="shared" si="18"/>
        <v>298.80291220556745</v>
      </c>
      <c r="R75" s="14">
        <f t="shared" si="19"/>
        <v>2.9122055674406511E-3</v>
      </c>
    </row>
    <row r="76" spans="1:18" ht="14.25" customHeight="1">
      <c r="A76" s="4">
        <v>7009</v>
      </c>
      <c r="B76" s="3" t="s">
        <v>4</v>
      </c>
      <c r="C76" s="10" t="s">
        <v>5</v>
      </c>
      <c r="D76" s="5">
        <v>298.8</v>
      </c>
      <c r="E76" s="10">
        <v>992.02</v>
      </c>
      <c r="F76" t="s">
        <v>14</v>
      </c>
      <c r="G76">
        <v>0.18</v>
      </c>
      <c r="H76">
        <v>0.73</v>
      </c>
      <c r="I76" s="14">
        <f t="shared" si="10"/>
        <v>52.964228510411104</v>
      </c>
      <c r="J76" s="14">
        <f t="shared" si="12"/>
        <v>953.35611318739984</v>
      </c>
      <c r="K76">
        <f t="shared" si="13"/>
        <v>38.659999999999997</v>
      </c>
      <c r="L76" s="14">
        <f t="shared" si="14"/>
        <v>992.01611318739981</v>
      </c>
      <c r="M76" s="14">
        <f t="shared" si="11"/>
        <v>-3.8868126001716519E-3</v>
      </c>
      <c r="N76" s="14">
        <f t="shared" si="15"/>
        <v>63.846153846153854</v>
      </c>
      <c r="O76" s="14">
        <f t="shared" si="16"/>
        <v>287.30769230769232</v>
      </c>
      <c r="P76">
        <f t="shared" si="17"/>
        <v>11.49</v>
      </c>
      <c r="Q76" s="14">
        <f t="shared" si="18"/>
        <v>298.79769230769233</v>
      </c>
      <c r="R76" s="14">
        <f t="shared" si="19"/>
        <v>-2.3076923076814637E-3</v>
      </c>
    </row>
    <row r="77" spans="1:18" ht="14.25" customHeight="1">
      <c r="A77" s="4">
        <v>7011</v>
      </c>
      <c r="B77" s="3" t="s">
        <v>4</v>
      </c>
      <c r="C77" s="10" t="s">
        <v>5</v>
      </c>
      <c r="D77" s="5">
        <v>298.8</v>
      </c>
      <c r="E77" s="10">
        <v>992.02</v>
      </c>
      <c r="F77" t="s">
        <v>14</v>
      </c>
      <c r="G77">
        <v>0.18</v>
      </c>
      <c r="H77">
        <v>0.73</v>
      </c>
      <c r="I77" s="14">
        <f t="shared" si="10"/>
        <v>52.964228510411104</v>
      </c>
      <c r="J77" s="14">
        <f t="shared" si="12"/>
        <v>953.35611318739984</v>
      </c>
      <c r="K77">
        <f t="shared" si="13"/>
        <v>38.659999999999997</v>
      </c>
      <c r="L77" s="14">
        <f t="shared" si="14"/>
        <v>992.01611318739981</v>
      </c>
      <c r="M77" s="14">
        <f t="shared" si="11"/>
        <v>-3.8868126001716519E-3</v>
      </c>
      <c r="N77" s="14">
        <f t="shared" si="15"/>
        <v>63.846153846153854</v>
      </c>
      <c r="O77" s="14">
        <f t="shared" si="16"/>
        <v>287.30769230769232</v>
      </c>
      <c r="P77">
        <f t="shared" si="17"/>
        <v>11.49</v>
      </c>
      <c r="Q77" s="14">
        <f t="shared" si="18"/>
        <v>298.79769230769233</v>
      </c>
      <c r="R77" s="14">
        <f t="shared" si="19"/>
        <v>-2.3076923076814637E-3</v>
      </c>
    </row>
    <row r="78" spans="1:18" ht="14.25" customHeight="1">
      <c r="A78" s="4">
        <v>7012</v>
      </c>
      <c r="B78" s="3" t="s">
        <v>4</v>
      </c>
      <c r="C78" s="10" t="s">
        <v>5</v>
      </c>
      <c r="D78" s="5">
        <v>298.8</v>
      </c>
      <c r="E78" s="10">
        <v>992.02</v>
      </c>
      <c r="F78" t="s">
        <v>14</v>
      </c>
      <c r="G78">
        <v>0.18</v>
      </c>
      <c r="H78">
        <v>0.74</v>
      </c>
      <c r="I78" s="14">
        <f t="shared" si="10"/>
        <v>52.935965848452511</v>
      </c>
      <c r="J78" s="14">
        <f t="shared" si="12"/>
        <v>952.84738527214517</v>
      </c>
      <c r="K78">
        <f t="shared" si="13"/>
        <v>39.17</v>
      </c>
      <c r="L78" s="14">
        <f t="shared" si="14"/>
        <v>992.01738527214513</v>
      </c>
      <c r="M78" s="14">
        <f t="shared" si="11"/>
        <v>-2.6147278548478425E-3</v>
      </c>
      <c r="N78" s="14">
        <f t="shared" si="15"/>
        <v>63.846153846153854</v>
      </c>
      <c r="O78" s="14">
        <f t="shared" si="16"/>
        <v>287.30769230769232</v>
      </c>
      <c r="P78">
        <f t="shared" si="17"/>
        <v>11.49</v>
      </c>
      <c r="Q78" s="14">
        <f t="shared" si="18"/>
        <v>298.79769230769233</v>
      </c>
      <c r="R78" s="14">
        <f t="shared" si="19"/>
        <v>-2.3076923076814637E-3</v>
      </c>
    </row>
    <row r="79" spans="1:18" ht="14.25" customHeight="1">
      <c r="A79" s="4">
        <v>7013</v>
      </c>
      <c r="B79" s="3" t="s">
        <v>4</v>
      </c>
      <c r="C79" s="10" t="s">
        <v>5</v>
      </c>
      <c r="D79" s="5">
        <v>298.8</v>
      </c>
      <c r="E79" s="10">
        <v>992.02</v>
      </c>
      <c r="F79" t="s">
        <v>14</v>
      </c>
      <c r="G79">
        <v>0.18</v>
      </c>
      <c r="H79">
        <v>0.73</v>
      </c>
      <c r="I79" s="14">
        <f t="shared" si="10"/>
        <v>52.964228510411104</v>
      </c>
      <c r="J79" s="14">
        <f t="shared" si="12"/>
        <v>953.35611318739984</v>
      </c>
      <c r="K79">
        <f t="shared" si="13"/>
        <v>38.659999999999997</v>
      </c>
      <c r="L79" s="14">
        <f t="shared" si="14"/>
        <v>992.01611318739981</v>
      </c>
      <c r="M79" s="14">
        <f t="shared" si="11"/>
        <v>-3.8868126001716519E-3</v>
      </c>
      <c r="N79" s="14">
        <f t="shared" si="15"/>
        <v>63.846153846153854</v>
      </c>
      <c r="O79" s="14">
        <f t="shared" si="16"/>
        <v>287.30769230769232</v>
      </c>
      <c r="P79">
        <f t="shared" si="17"/>
        <v>11.49</v>
      </c>
      <c r="Q79" s="14">
        <f t="shared" si="18"/>
        <v>298.79769230769233</v>
      </c>
      <c r="R79" s="14">
        <f t="shared" si="19"/>
        <v>-2.3076923076814637E-3</v>
      </c>
    </row>
    <row r="80" spans="1:18" ht="14.25" customHeight="1">
      <c r="A80" s="4">
        <v>7015</v>
      </c>
      <c r="B80" s="3" t="s">
        <v>4</v>
      </c>
      <c r="C80" s="10" t="s">
        <v>5</v>
      </c>
      <c r="D80" s="5">
        <v>298.8</v>
      </c>
      <c r="E80" s="10">
        <v>992.02</v>
      </c>
      <c r="F80" t="s">
        <v>14</v>
      </c>
      <c r="G80">
        <v>0.19</v>
      </c>
      <c r="H80">
        <v>0.78</v>
      </c>
      <c r="I80" s="14">
        <f t="shared" si="10"/>
        <v>52.823216187433438</v>
      </c>
      <c r="J80" s="14">
        <f t="shared" si="12"/>
        <v>950.8178913738019</v>
      </c>
      <c r="K80">
        <f t="shared" si="13"/>
        <v>41.2</v>
      </c>
      <c r="L80" s="14">
        <f t="shared" si="14"/>
        <v>992.01789137380194</v>
      </c>
      <c r="M80" s="14">
        <f t="shared" si="11"/>
        <v>-2.1086261980372001E-3</v>
      </c>
      <c r="N80" s="14">
        <f t="shared" si="15"/>
        <v>63.710021321961619</v>
      </c>
      <c r="O80" s="14">
        <f t="shared" si="16"/>
        <v>286.69509594882732</v>
      </c>
      <c r="P80">
        <f t="shared" si="17"/>
        <v>12.1</v>
      </c>
      <c r="Q80" s="14">
        <f t="shared" si="18"/>
        <v>298.79509594882734</v>
      </c>
      <c r="R80" s="14">
        <f t="shared" si="19"/>
        <v>-4.9040511726730074E-3</v>
      </c>
    </row>
    <row r="81" spans="1:18" ht="14.25" customHeight="1">
      <c r="A81" s="4">
        <v>7016</v>
      </c>
      <c r="B81" s="3" t="s">
        <v>4</v>
      </c>
      <c r="C81" s="10" t="s">
        <v>5</v>
      </c>
      <c r="D81" s="5">
        <v>298.8</v>
      </c>
      <c r="E81" s="10">
        <v>992.02</v>
      </c>
      <c r="F81" t="s">
        <v>14</v>
      </c>
      <c r="G81">
        <v>0.18</v>
      </c>
      <c r="H81">
        <v>0.73</v>
      </c>
      <c r="I81" s="14">
        <f t="shared" si="10"/>
        <v>52.964228510411104</v>
      </c>
      <c r="J81" s="14">
        <f t="shared" si="12"/>
        <v>953.35611318739984</v>
      </c>
      <c r="K81">
        <f t="shared" si="13"/>
        <v>38.659999999999997</v>
      </c>
      <c r="L81" s="14">
        <f t="shared" si="14"/>
        <v>992.01611318739981</v>
      </c>
      <c r="M81" s="14">
        <f t="shared" si="11"/>
        <v>-3.8868126001716519E-3</v>
      </c>
      <c r="N81" s="14">
        <f t="shared" si="15"/>
        <v>63.846153846153854</v>
      </c>
      <c r="O81" s="14">
        <f t="shared" si="16"/>
        <v>287.30769230769232</v>
      </c>
      <c r="P81">
        <f t="shared" si="17"/>
        <v>11.49</v>
      </c>
      <c r="Q81" s="14">
        <f t="shared" si="18"/>
        <v>298.79769230769233</v>
      </c>
      <c r="R81" s="14">
        <f t="shared" si="19"/>
        <v>-2.3076923076814637E-3</v>
      </c>
    </row>
    <row r="82" spans="1:18" ht="14.25" customHeight="1">
      <c r="A82" s="4">
        <v>7021</v>
      </c>
      <c r="B82" s="3" t="s">
        <v>4</v>
      </c>
      <c r="C82" s="10" t="s">
        <v>5</v>
      </c>
      <c r="D82" s="5">
        <v>298.8</v>
      </c>
      <c r="E82" s="10">
        <v>992.02</v>
      </c>
      <c r="F82" t="s">
        <v>14</v>
      </c>
      <c r="G82">
        <v>0.22</v>
      </c>
      <c r="H82">
        <v>0.89</v>
      </c>
      <c r="I82" s="14">
        <f t="shared" si="10"/>
        <v>52.515616728427737</v>
      </c>
      <c r="J82" s="14">
        <f t="shared" si="12"/>
        <v>945.28110111169929</v>
      </c>
      <c r="K82">
        <f t="shared" si="13"/>
        <v>46.74</v>
      </c>
      <c r="L82" s="14">
        <f t="shared" si="14"/>
        <v>992.02110111169929</v>
      </c>
      <c r="M82" s="14">
        <f t="shared" si="11"/>
        <v>1.1011116993131509E-3</v>
      </c>
      <c r="N82" s="14">
        <f t="shared" si="15"/>
        <v>63.30508474576272</v>
      </c>
      <c r="O82" s="14">
        <f t="shared" si="16"/>
        <v>284.87288135593224</v>
      </c>
      <c r="P82">
        <f t="shared" si="17"/>
        <v>13.93</v>
      </c>
      <c r="Q82" s="14">
        <f t="shared" si="18"/>
        <v>298.80288135593224</v>
      </c>
      <c r="R82" s="14">
        <f t="shared" si="19"/>
        <v>2.8813559322315996E-3</v>
      </c>
    </row>
    <row r="83" spans="1:18" ht="14.25" customHeight="1">
      <c r="A83" s="4">
        <v>7022</v>
      </c>
      <c r="B83" s="3" t="s">
        <v>4</v>
      </c>
      <c r="C83" s="10" t="s">
        <v>5</v>
      </c>
      <c r="D83" s="5">
        <v>298.8</v>
      </c>
      <c r="E83" s="10">
        <v>992.02</v>
      </c>
      <c r="F83" t="s">
        <v>14</v>
      </c>
      <c r="G83">
        <v>0.18</v>
      </c>
      <c r="H83">
        <v>0.73</v>
      </c>
      <c r="I83" s="14">
        <f t="shared" si="10"/>
        <v>52.964228510411104</v>
      </c>
      <c r="J83" s="14">
        <f t="shared" si="12"/>
        <v>953.35611318739984</v>
      </c>
      <c r="K83">
        <f t="shared" si="13"/>
        <v>38.659999999999997</v>
      </c>
      <c r="L83" s="14">
        <f t="shared" si="14"/>
        <v>992.01611318739981</v>
      </c>
      <c r="M83" s="14">
        <f t="shared" si="11"/>
        <v>-3.8868126001716519E-3</v>
      </c>
      <c r="N83" s="14">
        <f t="shared" si="15"/>
        <v>63.846153846153854</v>
      </c>
      <c r="O83" s="14">
        <f t="shared" si="16"/>
        <v>287.30769230769232</v>
      </c>
      <c r="P83">
        <f t="shared" si="17"/>
        <v>11.49</v>
      </c>
      <c r="Q83" s="14">
        <f t="shared" si="18"/>
        <v>298.79769230769233</v>
      </c>
      <c r="R83" s="14">
        <f t="shared" si="19"/>
        <v>-2.3076923076814637E-3</v>
      </c>
    </row>
    <row r="84" spans="1:18" ht="14.25" customHeight="1">
      <c r="A84" s="4">
        <v>7023</v>
      </c>
      <c r="B84" s="3" t="s">
        <v>4</v>
      </c>
      <c r="C84" s="10" t="s">
        <v>5</v>
      </c>
      <c r="D84" s="5">
        <v>298.8</v>
      </c>
      <c r="E84" s="10">
        <v>992.02</v>
      </c>
      <c r="F84" t="s">
        <v>14</v>
      </c>
      <c r="G84">
        <v>0.18</v>
      </c>
      <c r="H84">
        <v>0.71</v>
      </c>
      <c r="I84" s="14">
        <f t="shared" si="10"/>
        <v>53.020844468198824</v>
      </c>
      <c r="J84" s="14">
        <f t="shared" si="12"/>
        <v>954.37520042757887</v>
      </c>
      <c r="K84">
        <f t="shared" si="13"/>
        <v>37.64</v>
      </c>
      <c r="L84" s="14">
        <f t="shared" si="14"/>
        <v>992.01520042757886</v>
      </c>
      <c r="M84" s="14">
        <f t="shared" si="11"/>
        <v>-4.7995724211205015E-3</v>
      </c>
      <c r="N84" s="14">
        <f t="shared" si="15"/>
        <v>63.846153846153854</v>
      </c>
      <c r="O84" s="14">
        <f t="shared" si="16"/>
        <v>287.30769230769232</v>
      </c>
      <c r="P84">
        <f t="shared" si="17"/>
        <v>11.49</v>
      </c>
      <c r="Q84" s="14">
        <f t="shared" si="18"/>
        <v>298.79769230769233</v>
      </c>
      <c r="R84" s="14">
        <f t="shared" si="19"/>
        <v>-2.3076923076814637E-3</v>
      </c>
    </row>
    <row r="85" spans="1:18" ht="14.25" customHeight="1">
      <c r="A85" s="4">
        <v>7024</v>
      </c>
      <c r="B85" s="3" t="s">
        <v>4</v>
      </c>
      <c r="C85" s="10" t="s">
        <v>5</v>
      </c>
      <c r="D85" s="5">
        <v>298.8</v>
      </c>
      <c r="E85" s="10">
        <v>992.02</v>
      </c>
      <c r="F85" t="s">
        <v>14</v>
      </c>
      <c r="G85">
        <v>0.19</v>
      </c>
      <c r="H85">
        <v>0.76</v>
      </c>
      <c r="I85" s="14">
        <f t="shared" si="10"/>
        <v>52.879530916844345</v>
      </c>
      <c r="J85" s="14">
        <f t="shared" si="12"/>
        <v>951.83155650319827</v>
      </c>
      <c r="K85">
        <f t="shared" si="13"/>
        <v>40.19</v>
      </c>
      <c r="L85" s="14">
        <f t="shared" si="14"/>
        <v>992.02155650319833</v>
      </c>
      <c r="M85" s="14">
        <f t="shared" si="11"/>
        <v>1.5565031983442168E-3</v>
      </c>
      <c r="N85" s="14">
        <f t="shared" si="15"/>
        <v>63.710021321961619</v>
      </c>
      <c r="O85" s="14">
        <f t="shared" si="16"/>
        <v>286.69509594882732</v>
      </c>
      <c r="P85">
        <f t="shared" si="17"/>
        <v>12.1</v>
      </c>
      <c r="Q85" s="14">
        <f t="shared" si="18"/>
        <v>298.79509594882734</v>
      </c>
      <c r="R85" s="14">
        <f t="shared" si="19"/>
        <v>-4.9040511726730074E-3</v>
      </c>
    </row>
    <row r="86" spans="1:18" ht="14.25" customHeight="1">
      <c r="A86" s="4">
        <v>7026</v>
      </c>
      <c r="B86" s="3" t="s">
        <v>4</v>
      </c>
      <c r="C86" s="10" t="s">
        <v>5</v>
      </c>
      <c r="D86" s="5">
        <v>298.8</v>
      </c>
      <c r="E86" s="10">
        <v>992.02</v>
      </c>
      <c r="F86" t="s">
        <v>14</v>
      </c>
      <c r="G86">
        <v>0.18</v>
      </c>
      <c r="H86">
        <v>0.74</v>
      </c>
      <c r="I86" s="14">
        <f t="shared" si="10"/>
        <v>52.935965848452511</v>
      </c>
      <c r="J86" s="14">
        <f t="shared" si="12"/>
        <v>952.84738527214517</v>
      </c>
      <c r="K86">
        <f t="shared" si="13"/>
        <v>39.17</v>
      </c>
      <c r="L86" s="14">
        <f t="shared" si="14"/>
        <v>992.01738527214513</v>
      </c>
      <c r="M86" s="14">
        <f t="shared" si="11"/>
        <v>-2.6147278548478425E-3</v>
      </c>
      <c r="N86" s="14">
        <f t="shared" si="15"/>
        <v>63.846153846153854</v>
      </c>
      <c r="O86" s="14">
        <f t="shared" si="16"/>
        <v>287.30769230769232</v>
      </c>
      <c r="P86">
        <f t="shared" si="17"/>
        <v>11.49</v>
      </c>
      <c r="Q86" s="14">
        <f t="shared" si="18"/>
        <v>298.79769230769233</v>
      </c>
      <c r="R86" s="14">
        <f t="shared" si="19"/>
        <v>-2.3076923076814637E-3</v>
      </c>
    </row>
    <row r="87" spans="1:18" ht="14.25" customHeight="1">
      <c r="A87" s="4">
        <v>7030</v>
      </c>
      <c r="B87" s="3" t="s">
        <v>4</v>
      </c>
      <c r="C87" s="10" t="s">
        <v>5</v>
      </c>
      <c r="D87" s="5">
        <v>298.8</v>
      </c>
      <c r="E87" s="10">
        <v>992.02</v>
      </c>
      <c r="F87" t="s">
        <v>10</v>
      </c>
      <c r="G87">
        <v>0.06</v>
      </c>
      <c r="H87">
        <v>0.23</v>
      </c>
      <c r="I87" s="14">
        <f t="shared" si="10"/>
        <v>54.416895227646734</v>
      </c>
      <c r="J87" s="14">
        <f t="shared" si="12"/>
        <v>979.50411409764115</v>
      </c>
      <c r="K87">
        <f t="shared" si="13"/>
        <v>12.52</v>
      </c>
      <c r="L87" s="14">
        <f t="shared" si="14"/>
        <v>992.02411409764113</v>
      </c>
      <c r="M87" s="14">
        <f t="shared" si="11"/>
        <v>4.1140976411497832E-3</v>
      </c>
      <c r="N87" s="14">
        <f t="shared" si="15"/>
        <v>65.526315789473699</v>
      </c>
      <c r="O87" s="14">
        <f t="shared" si="16"/>
        <v>294.86842105263167</v>
      </c>
      <c r="P87">
        <f t="shared" si="17"/>
        <v>3.93</v>
      </c>
      <c r="Q87" s="14">
        <f t="shared" si="18"/>
        <v>298.79842105263168</v>
      </c>
      <c r="R87" s="14">
        <f t="shared" si="19"/>
        <v>-1.5789473683298638E-3</v>
      </c>
    </row>
    <row r="88" spans="1:18" ht="14.25" customHeight="1">
      <c r="A88" s="4">
        <v>7031</v>
      </c>
      <c r="B88" s="3" t="s">
        <v>4</v>
      </c>
      <c r="C88" s="10" t="s">
        <v>5</v>
      </c>
      <c r="D88" s="5">
        <v>298.8</v>
      </c>
      <c r="E88" s="10">
        <v>992.02</v>
      </c>
      <c r="F88" t="s">
        <v>14</v>
      </c>
      <c r="G88">
        <v>0.2</v>
      </c>
      <c r="H88">
        <v>0.79</v>
      </c>
      <c r="I88" s="14">
        <f t="shared" si="10"/>
        <v>52.795103778605643</v>
      </c>
      <c r="J88" s="14">
        <f t="shared" si="12"/>
        <v>950.31186801490162</v>
      </c>
      <c r="K88">
        <f t="shared" si="13"/>
        <v>41.71</v>
      </c>
      <c r="L88" s="14">
        <f t="shared" si="14"/>
        <v>992.02186801490166</v>
      </c>
      <c r="M88" s="14">
        <f t="shared" si="11"/>
        <v>1.8680149016745418E-3</v>
      </c>
      <c r="N88" s="14">
        <f t="shared" si="15"/>
        <v>63.574468085106382</v>
      </c>
      <c r="O88" s="14">
        <f t="shared" si="16"/>
        <v>286.08510638297872</v>
      </c>
      <c r="P88">
        <f t="shared" si="17"/>
        <v>12.71</v>
      </c>
      <c r="Q88" s="14">
        <f t="shared" si="18"/>
        <v>298.7951063829787</v>
      </c>
      <c r="R88" s="14">
        <f t="shared" si="19"/>
        <v>-4.8936170213096375E-3</v>
      </c>
    </row>
    <row r="89" spans="1:18" ht="14.25" customHeight="1">
      <c r="A89" s="4">
        <v>7032</v>
      </c>
      <c r="B89" s="3" t="s">
        <v>4</v>
      </c>
      <c r="C89" s="10" t="s">
        <v>5</v>
      </c>
      <c r="D89" s="5">
        <v>298.8</v>
      </c>
      <c r="E89" s="10">
        <v>992.02</v>
      </c>
      <c r="F89" t="s">
        <v>10</v>
      </c>
      <c r="G89">
        <v>0.03</v>
      </c>
      <c r="H89">
        <v>0.11</v>
      </c>
      <c r="I89" s="14">
        <f t="shared" si="10"/>
        <v>54.777471010491439</v>
      </c>
      <c r="J89" s="14">
        <f t="shared" si="12"/>
        <v>985.99447818884596</v>
      </c>
      <c r="K89">
        <f t="shared" si="13"/>
        <v>6.03</v>
      </c>
      <c r="L89" s="14">
        <f t="shared" si="14"/>
        <v>992.02447818884593</v>
      </c>
      <c r="M89" s="14">
        <f t="shared" si="11"/>
        <v>4.478188845951081E-3</v>
      </c>
      <c r="N89" s="14">
        <f t="shared" si="15"/>
        <v>65.960264900662253</v>
      </c>
      <c r="O89" s="14">
        <f t="shared" si="16"/>
        <v>296.82119205298011</v>
      </c>
      <c r="P89">
        <f t="shared" si="17"/>
        <v>1.98</v>
      </c>
      <c r="Q89" s="14">
        <f t="shared" si="18"/>
        <v>298.80119205298013</v>
      </c>
      <c r="R89" s="14">
        <f t="shared" si="19"/>
        <v>1.1920529801159319E-3</v>
      </c>
    </row>
    <row r="90" spans="1:18" ht="14.25" customHeight="1">
      <c r="A90" s="4">
        <v>7034</v>
      </c>
      <c r="B90" s="3" t="s">
        <v>4</v>
      </c>
      <c r="C90" s="10" t="s">
        <v>5</v>
      </c>
      <c r="D90" s="5">
        <v>298.8</v>
      </c>
      <c r="E90" s="10">
        <v>992.02</v>
      </c>
      <c r="F90" t="s">
        <v>14</v>
      </c>
      <c r="G90">
        <v>0.19</v>
      </c>
      <c r="H90">
        <v>0.76</v>
      </c>
      <c r="I90" s="14">
        <f t="shared" si="10"/>
        <v>52.879530916844345</v>
      </c>
      <c r="J90" s="14">
        <f t="shared" si="12"/>
        <v>951.83155650319827</v>
      </c>
      <c r="K90">
        <f t="shared" si="13"/>
        <v>40.19</v>
      </c>
      <c r="L90" s="14">
        <f t="shared" si="14"/>
        <v>992.02155650319833</v>
      </c>
      <c r="M90" s="14">
        <f t="shared" si="11"/>
        <v>1.5565031983442168E-3</v>
      </c>
      <c r="N90" s="14">
        <f t="shared" si="15"/>
        <v>63.710021321961619</v>
      </c>
      <c r="O90" s="14">
        <f t="shared" si="16"/>
        <v>286.69509594882732</v>
      </c>
      <c r="P90">
        <f t="shared" si="17"/>
        <v>12.1</v>
      </c>
      <c r="Q90" s="14">
        <f t="shared" si="18"/>
        <v>298.79509594882734</v>
      </c>
      <c r="R90" s="14">
        <f t="shared" si="19"/>
        <v>-4.9040511726730074E-3</v>
      </c>
    </row>
    <row r="91" spans="1:18" ht="14.25" customHeight="1">
      <c r="A91" s="4">
        <v>7035</v>
      </c>
      <c r="B91" s="3" t="s">
        <v>6</v>
      </c>
      <c r="C91" s="10" t="s">
        <v>7</v>
      </c>
      <c r="D91" s="5">
        <v>351.9</v>
      </c>
      <c r="E91" s="10">
        <v>1168.31</v>
      </c>
      <c r="F91" t="s">
        <v>12</v>
      </c>
      <c r="G91">
        <v>0.01</v>
      </c>
      <c r="H91">
        <v>0.05</v>
      </c>
      <c r="I91" s="14">
        <f t="shared" si="10"/>
        <v>64.726315789473674</v>
      </c>
      <c r="J91" s="14">
        <f t="shared" si="12"/>
        <v>1165.0736842105262</v>
      </c>
      <c r="K91">
        <f t="shared" si="13"/>
        <v>3.24</v>
      </c>
      <c r="L91" s="14">
        <f t="shared" si="14"/>
        <v>1168.3136842105262</v>
      </c>
      <c r="M91" s="14">
        <f t="shared" si="11"/>
        <v>3.6842105262167024E-3</v>
      </c>
      <c r="N91" s="14">
        <f t="shared" si="15"/>
        <v>78.026607538802665</v>
      </c>
      <c r="O91" s="14">
        <f t="shared" si="16"/>
        <v>351.11973392461198</v>
      </c>
      <c r="P91">
        <f t="shared" si="17"/>
        <v>0.78</v>
      </c>
      <c r="Q91" s="14">
        <f t="shared" si="18"/>
        <v>351.89973392461195</v>
      </c>
      <c r="R91" s="14">
        <f t="shared" si="19"/>
        <v>-2.6607538802636554E-4</v>
      </c>
    </row>
    <row r="92" spans="1:18" ht="14.25" customHeight="1">
      <c r="A92" s="4">
        <v>7036</v>
      </c>
      <c r="B92" s="3" t="s">
        <v>4</v>
      </c>
      <c r="C92" s="10" t="s">
        <v>5</v>
      </c>
      <c r="D92" s="5">
        <v>298.8</v>
      </c>
      <c r="E92" s="10">
        <v>992.02</v>
      </c>
      <c r="F92" t="s">
        <v>10</v>
      </c>
      <c r="G92">
        <v>0.03</v>
      </c>
      <c r="H92">
        <v>0.12</v>
      </c>
      <c r="I92" s="14">
        <f t="shared" si="10"/>
        <v>54.747240618101543</v>
      </c>
      <c r="J92" s="14">
        <f t="shared" si="12"/>
        <v>985.4503311258278</v>
      </c>
      <c r="K92">
        <f t="shared" si="13"/>
        <v>6.57</v>
      </c>
      <c r="L92" s="14">
        <f t="shared" si="14"/>
        <v>992.02033112582785</v>
      </c>
      <c r="M92" s="14">
        <f t="shared" si="11"/>
        <v>3.3112582786998246E-4</v>
      </c>
      <c r="N92" s="14">
        <f t="shared" si="15"/>
        <v>65.960264900662253</v>
      </c>
      <c r="O92" s="14">
        <f t="shared" si="16"/>
        <v>296.82119205298011</v>
      </c>
      <c r="P92">
        <f t="shared" si="17"/>
        <v>1.98</v>
      </c>
      <c r="Q92" s="14">
        <f t="shared" si="18"/>
        <v>298.80119205298013</v>
      </c>
      <c r="R92" s="14">
        <f t="shared" si="19"/>
        <v>1.1920529801159319E-3</v>
      </c>
    </row>
    <row r="93" spans="1:18" ht="14.25" customHeight="1">
      <c r="A93" s="4">
        <v>7037</v>
      </c>
      <c r="B93" s="3" t="s">
        <v>4</v>
      </c>
      <c r="C93" s="10" t="s">
        <v>5</v>
      </c>
      <c r="D93" s="5">
        <v>298.8</v>
      </c>
      <c r="E93" s="10">
        <v>992.02</v>
      </c>
      <c r="F93" t="s">
        <v>14</v>
      </c>
      <c r="G93">
        <v>0.21</v>
      </c>
      <c r="H93">
        <v>0.83</v>
      </c>
      <c r="I93" s="14">
        <f t="shared" si="10"/>
        <v>52.68295273499735</v>
      </c>
      <c r="J93" s="14">
        <f t="shared" si="12"/>
        <v>948.29314922995229</v>
      </c>
      <c r="K93">
        <f t="shared" si="13"/>
        <v>43.73</v>
      </c>
      <c r="L93" s="14">
        <f t="shared" si="14"/>
        <v>992.02314922995231</v>
      </c>
      <c r="M93" s="14">
        <f t="shared" si="11"/>
        <v>3.1492299523279144E-3</v>
      </c>
      <c r="N93" s="14">
        <f t="shared" si="15"/>
        <v>63.439490445859875</v>
      </c>
      <c r="O93" s="14">
        <f t="shared" si="16"/>
        <v>285.47770700636943</v>
      </c>
      <c r="P93">
        <f t="shared" si="17"/>
        <v>13.32</v>
      </c>
      <c r="Q93" s="14">
        <f t="shared" si="18"/>
        <v>298.79770700636942</v>
      </c>
      <c r="R93" s="14">
        <f t="shared" si="19"/>
        <v>-2.2929936305899901E-3</v>
      </c>
    </row>
    <row r="94" spans="1:18" ht="14.25" customHeight="1">
      <c r="A94" s="4">
        <v>7038</v>
      </c>
      <c r="B94" s="3" t="s">
        <v>4</v>
      </c>
      <c r="C94" s="10" t="s">
        <v>5</v>
      </c>
      <c r="D94" s="5">
        <v>298.8</v>
      </c>
      <c r="E94" s="10">
        <v>992.02</v>
      </c>
      <c r="F94" t="s">
        <v>10</v>
      </c>
      <c r="G94">
        <v>0.02</v>
      </c>
      <c r="H94">
        <v>0.08</v>
      </c>
      <c r="I94" s="14">
        <f t="shared" si="10"/>
        <v>54.868362831858413</v>
      </c>
      <c r="J94" s="14">
        <f t="shared" si="12"/>
        <v>987.63053097345141</v>
      </c>
      <c r="K94">
        <f t="shared" si="13"/>
        <v>4.3899999999999997</v>
      </c>
      <c r="L94" s="14">
        <f t="shared" si="14"/>
        <v>992.0205309734514</v>
      </c>
      <c r="M94" s="14">
        <f t="shared" si="11"/>
        <v>5.3097345141850383E-4</v>
      </c>
      <c r="N94" s="14">
        <f t="shared" si="15"/>
        <v>66.106194690265497</v>
      </c>
      <c r="O94" s="14">
        <f t="shared" si="16"/>
        <v>297.47787610619474</v>
      </c>
      <c r="P94">
        <f t="shared" si="17"/>
        <v>1.32</v>
      </c>
      <c r="Q94" s="14">
        <f t="shared" si="18"/>
        <v>298.79787610619474</v>
      </c>
      <c r="R94" s="14">
        <f t="shared" si="19"/>
        <v>-2.1238938052761114E-3</v>
      </c>
    </row>
    <row r="95" spans="1:18" ht="14.25" customHeight="1">
      <c r="A95" s="4">
        <v>7039</v>
      </c>
      <c r="B95" s="3" t="s">
        <v>4</v>
      </c>
      <c r="C95" s="10" t="s">
        <v>5</v>
      </c>
      <c r="D95" s="5">
        <v>298.8</v>
      </c>
      <c r="E95" s="10">
        <v>992.02</v>
      </c>
      <c r="F95" t="s">
        <v>14</v>
      </c>
      <c r="G95">
        <v>0.18</v>
      </c>
      <c r="H95">
        <v>0.72</v>
      </c>
      <c r="I95" s="14">
        <f t="shared" si="10"/>
        <v>52.99252136752137</v>
      </c>
      <c r="J95" s="14">
        <f t="shared" si="12"/>
        <v>953.86538461538464</v>
      </c>
      <c r="K95">
        <f t="shared" si="13"/>
        <v>38.15</v>
      </c>
      <c r="L95" s="14">
        <f t="shared" si="14"/>
        <v>992.01538461538462</v>
      </c>
      <c r="M95" s="14">
        <f t="shared" si="11"/>
        <v>-4.6153846153629274E-3</v>
      </c>
      <c r="N95" s="14">
        <f t="shared" si="15"/>
        <v>63.846153846153854</v>
      </c>
      <c r="O95" s="14">
        <f t="shared" si="16"/>
        <v>287.30769230769232</v>
      </c>
      <c r="P95">
        <f t="shared" si="17"/>
        <v>11.49</v>
      </c>
      <c r="Q95" s="14">
        <f t="shared" si="18"/>
        <v>298.79769230769233</v>
      </c>
      <c r="R95" s="14">
        <f t="shared" si="19"/>
        <v>-2.3076923076814637E-3</v>
      </c>
    </row>
    <row r="96" spans="1:18" ht="14.25" customHeight="1">
      <c r="A96" s="4">
        <v>7040</v>
      </c>
      <c r="B96" s="3" t="s">
        <v>4</v>
      </c>
      <c r="C96" s="10" t="s">
        <v>5</v>
      </c>
      <c r="D96" s="5">
        <v>298.8</v>
      </c>
      <c r="E96" s="10">
        <v>992.02</v>
      </c>
      <c r="F96" t="s">
        <v>10</v>
      </c>
      <c r="G96">
        <v>0.02</v>
      </c>
      <c r="H96">
        <v>0.09</v>
      </c>
      <c r="I96" s="14">
        <f t="shared" si="10"/>
        <v>54.838032061912656</v>
      </c>
      <c r="J96" s="14">
        <f t="shared" si="12"/>
        <v>987.08457711442782</v>
      </c>
      <c r="K96">
        <f t="shared" si="13"/>
        <v>4.9400000000000004</v>
      </c>
      <c r="L96" s="14">
        <f t="shared" si="14"/>
        <v>992.02457711442787</v>
      </c>
      <c r="M96" s="14">
        <f t="shared" si="11"/>
        <v>4.5771144278887732E-3</v>
      </c>
      <c r="N96" s="14">
        <f t="shared" si="15"/>
        <v>66.106194690265497</v>
      </c>
      <c r="O96" s="14">
        <f t="shared" si="16"/>
        <v>297.47787610619474</v>
      </c>
      <c r="P96">
        <f t="shared" si="17"/>
        <v>1.32</v>
      </c>
      <c r="Q96" s="14">
        <f t="shared" si="18"/>
        <v>298.79787610619474</v>
      </c>
      <c r="R96" s="14">
        <f t="shared" si="19"/>
        <v>-2.1238938052761114E-3</v>
      </c>
    </row>
    <row r="97" spans="1:18" ht="14.25" customHeight="1">
      <c r="A97" s="4">
        <v>7042</v>
      </c>
      <c r="B97" s="3" t="s">
        <v>4</v>
      </c>
      <c r="C97" s="10" t="s">
        <v>5</v>
      </c>
      <c r="D97" s="5">
        <v>298.8</v>
      </c>
      <c r="E97" s="10">
        <v>992.02</v>
      </c>
      <c r="F97" t="s">
        <v>10</v>
      </c>
      <c r="G97">
        <v>0.03</v>
      </c>
      <c r="H97">
        <v>0.12</v>
      </c>
      <c r="I97" s="14">
        <f t="shared" si="10"/>
        <v>54.747240618101543</v>
      </c>
      <c r="J97" s="14">
        <f t="shared" si="12"/>
        <v>985.4503311258278</v>
      </c>
      <c r="K97">
        <f t="shared" si="13"/>
        <v>6.57</v>
      </c>
      <c r="L97" s="14">
        <f t="shared" si="14"/>
        <v>992.02033112582785</v>
      </c>
      <c r="M97" s="14">
        <f t="shared" si="11"/>
        <v>3.3112582786998246E-4</v>
      </c>
      <c r="N97" s="14">
        <f t="shared" si="15"/>
        <v>65.960264900662253</v>
      </c>
      <c r="O97" s="14">
        <f t="shared" si="16"/>
        <v>296.82119205298011</v>
      </c>
      <c r="P97">
        <f t="shared" si="17"/>
        <v>1.98</v>
      </c>
      <c r="Q97" s="14">
        <f t="shared" si="18"/>
        <v>298.80119205298013</v>
      </c>
      <c r="R97" s="14">
        <f t="shared" si="19"/>
        <v>1.1920529801159319E-3</v>
      </c>
    </row>
    <row r="98" spans="1:18" ht="14.25" customHeight="1">
      <c r="A98" s="4">
        <v>7043</v>
      </c>
      <c r="B98" s="3" t="s">
        <v>4</v>
      </c>
      <c r="C98" s="10" t="s">
        <v>5</v>
      </c>
      <c r="D98" s="5">
        <v>298.8</v>
      </c>
      <c r="E98" s="10">
        <v>992.02</v>
      </c>
      <c r="F98" t="s">
        <v>14</v>
      </c>
      <c r="G98">
        <v>0.18</v>
      </c>
      <c r="H98">
        <v>0.74</v>
      </c>
      <c r="I98" s="14">
        <f t="shared" si="10"/>
        <v>52.935965848452511</v>
      </c>
      <c r="J98" s="14">
        <f t="shared" si="12"/>
        <v>952.84738527214517</v>
      </c>
      <c r="K98">
        <f t="shared" si="13"/>
        <v>39.17</v>
      </c>
      <c r="L98" s="14">
        <f t="shared" si="14"/>
        <v>992.01738527214513</v>
      </c>
      <c r="M98" s="14">
        <f t="shared" si="11"/>
        <v>-2.6147278548478425E-3</v>
      </c>
      <c r="N98" s="14">
        <f t="shared" si="15"/>
        <v>63.846153846153854</v>
      </c>
      <c r="O98" s="14">
        <f t="shared" si="16"/>
        <v>287.30769230769232</v>
      </c>
      <c r="P98">
        <f t="shared" si="17"/>
        <v>11.49</v>
      </c>
      <c r="Q98" s="14">
        <f t="shared" si="18"/>
        <v>298.79769230769233</v>
      </c>
      <c r="R98" s="14">
        <f t="shared" si="19"/>
        <v>-2.3076923076814637E-3</v>
      </c>
    </row>
    <row r="99" spans="1:18" ht="14.25" customHeight="1">
      <c r="A99" s="4">
        <v>7045</v>
      </c>
      <c r="B99" s="3" t="s">
        <v>4</v>
      </c>
      <c r="C99" s="10" t="s">
        <v>5</v>
      </c>
      <c r="D99" s="5">
        <v>298.8</v>
      </c>
      <c r="E99" s="10">
        <v>992.02</v>
      </c>
      <c r="F99" t="s">
        <v>10</v>
      </c>
      <c r="G99">
        <v>0.03</v>
      </c>
      <c r="H99">
        <v>0.12</v>
      </c>
      <c r="I99" s="14">
        <f t="shared" si="10"/>
        <v>54.747240618101543</v>
      </c>
      <c r="J99" s="14">
        <f t="shared" si="12"/>
        <v>985.4503311258278</v>
      </c>
      <c r="K99">
        <f t="shared" si="13"/>
        <v>6.57</v>
      </c>
      <c r="L99" s="14">
        <f t="shared" si="14"/>
        <v>992.02033112582785</v>
      </c>
      <c r="M99" s="14">
        <f t="shared" si="11"/>
        <v>3.3112582786998246E-4</v>
      </c>
      <c r="N99" s="14">
        <f t="shared" si="15"/>
        <v>65.960264900662253</v>
      </c>
      <c r="O99" s="14">
        <f t="shared" si="16"/>
        <v>296.82119205298011</v>
      </c>
      <c r="P99">
        <f t="shared" si="17"/>
        <v>1.98</v>
      </c>
      <c r="Q99" s="14">
        <f t="shared" si="18"/>
        <v>298.80119205298013</v>
      </c>
      <c r="R99" s="14">
        <f t="shared" si="19"/>
        <v>1.1920529801159319E-3</v>
      </c>
    </row>
    <row r="100" spans="1:18" ht="14.25" customHeight="1">
      <c r="A100" s="4">
        <v>7046</v>
      </c>
      <c r="B100" s="3" t="s">
        <v>4</v>
      </c>
      <c r="C100" s="10" t="s">
        <v>5</v>
      </c>
      <c r="D100" s="5">
        <v>298.8</v>
      </c>
      <c r="E100" s="10">
        <v>992.02</v>
      </c>
      <c r="F100" t="s">
        <v>14</v>
      </c>
      <c r="G100">
        <v>0.18</v>
      </c>
      <c r="H100">
        <v>0.74</v>
      </c>
      <c r="I100" s="14">
        <f t="shared" si="10"/>
        <v>52.935965848452511</v>
      </c>
      <c r="J100" s="14">
        <f t="shared" si="12"/>
        <v>952.84738527214517</v>
      </c>
      <c r="K100">
        <f t="shared" si="13"/>
        <v>39.17</v>
      </c>
      <c r="L100" s="14">
        <f t="shared" si="14"/>
        <v>992.01738527214513</v>
      </c>
      <c r="M100" s="14">
        <f t="shared" si="11"/>
        <v>-2.6147278548478425E-3</v>
      </c>
      <c r="N100" s="14">
        <f t="shared" si="15"/>
        <v>63.846153846153854</v>
      </c>
      <c r="O100" s="14">
        <f t="shared" si="16"/>
        <v>287.30769230769232</v>
      </c>
      <c r="P100">
        <f t="shared" si="17"/>
        <v>11.49</v>
      </c>
      <c r="Q100" s="14">
        <f t="shared" si="18"/>
        <v>298.79769230769233</v>
      </c>
      <c r="R100" s="14">
        <f t="shared" si="19"/>
        <v>-2.3076923076814637E-3</v>
      </c>
    </row>
    <row r="101" spans="1:18" ht="14.25" customHeight="1">
      <c r="A101" s="4">
        <v>7047</v>
      </c>
      <c r="B101" s="3" t="s">
        <v>6</v>
      </c>
      <c r="C101" s="10" t="s">
        <v>7</v>
      </c>
      <c r="D101" s="5">
        <v>351.9</v>
      </c>
      <c r="E101" s="10">
        <v>1168.31</v>
      </c>
      <c r="F101" t="s">
        <v>12</v>
      </c>
      <c r="G101">
        <v>0.01</v>
      </c>
      <c r="H101">
        <v>0.04</v>
      </c>
      <c r="I101" s="14">
        <f t="shared" si="10"/>
        <v>64.762195121951223</v>
      </c>
      <c r="J101" s="14">
        <f t="shared" si="12"/>
        <v>1165.719512195122</v>
      </c>
      <c r="K101">
        <f t="shared" si="13"/>
        <v>2.59</v>
      </c>
      <c r="L101" s="14">
        <f t="shared" si="14"/>
        <v>1168.3095121951219</v>
      </c>
      <c r="M101" s="14">
        <f t="shared" si="11"/>
        <v>-4.8780487804833683E-4</v>
      </c>
      <c r="N101" s="14">
        <f t="shared" si="15"/>
        <v>78.026607538802665</v>
      </c>
      <c r="O101" s="14">
        <f t="shared" si="16"/>
        <v>351.11973392461198</v>
      </c>
      <c r="P101">
        <f t="shared" si="17"/>
        <v>0.78</v>
      </c>
      <c r="Q101" s="14">
        <f t="shared" si="18"/>
        <v>351.89973392461195</v>
      </c>
      <c r="R101" s="14">
        <f t="shared" si="19"/>
        <v>-2.6607538802636554E-4</v>
      </c>
    </row>
    <row r="102" spans="1:18" ht="14.25" customHeight="1">
      <c r="A102" s="4">
        <v>8001</v>
      </c>
      <c r="B102" s="3" t="s">
        <v>4</v>
      </c>
      <c r="C102" s="10" t="s">
        <v>5</v>
      </c>
      <c r="D102" s="5">
        <v>298.8</v>
      </c>
      <c r="E102" s="10">
        <v>992.02</v>
      </c>
      <c r="F102" t="s">
        <v>14</v>
      </c>
      <c r="G102">
        <v>0.34</v>
      </c>
      <c r="H102">
        <v>1.35</v>
      </c>
      <c r="I102" s="14">
        <f t="shared" si="10"/>
        <v>51.267183462532294</v>
      </c>
      <c r="J102" s="14">
        <f t="shared" si="12"/>
        <v>922.80930232558126</v>
      </c>
      <c r="K102">
        <f t="shared" si="13"/>
        <v>69.209999999999994</v>
      </c>
      <c r="L102" s="14">
        <f t="shared" si="14"/>
        <v>992.01930232558129</v>
      </c>
      <c r="M102" s="14">
        <f t="shared" si="11"/>
        <v>-6.9767441868862079E-4</v>
      </c>
      <c r="N102" s="14">
        <f t="shared" si="15"/>
        <v>61.735537190082646</v>
      </c>
      <c r="O102" s="14">
        <f t="shared" si="16"/>
        <v>277.80991735537191</v>
      </c>
      <c r="P102">
        <f t="shared" si="17"/>
        <v>20.99</v>
      </c>
      <c r="Q102" s="14">
        <f t="shared" si="18"/>
        <v>298.79991735537192</v>
      </c>
      <c r="R102" s="14">
        <f t="shared" si="19"/>
        <v>-8.2644628093930805E-5</v>
      </c>
    </row>
    <row r="103" spans="1:18" ht="14.25" customHeight="1">
      <c r="A103" s="4">
        <v>8002</v>
      </c>
      <c r="B103" s="3" t="s">
        <v>4</v>
      </c>
      <c r="C103" s="10" t="s">
        <v>5</v>
      </c>
      <c r="D103" s="5">
        <v>298.8</v>
      </c>
      <c r="E103" s="10">
        <v>992.02</v>
      </c>
      <c r="F103" t="s">
        <v>14</v>
      </c>
      <c r="G103">
        <v>0.18</v>
      </c>
      <c r="H103">
        <v>0.73</v>
      </c>
      <c r="I103" s="14">
        <f t="shared" si="10"/>
        <v>52.964228510411104</v>
      </c>
      <c r="J103" s="14">
        <f t="shared" si="12"/>
        <v>953.35611318739984</v>
      </c>
      <c r="K103">
        <f t="shared" si="13"/>
        <v>38.659999999999997</v>
      </c>
      <c r="L103" s="14">
        <f t="shared" si="14"/>
        <v>992.01611318739981</v>
      </c>
      <c r="M103" s="14">
        <f t="shared" si="11"/>
        <v>-3.8868126001716519E-3</v>
      </c>
      <c r="N103" s="14">
        <f t="shared" si="15"/>
        <v>63.846153846153854</v>
      </c>
      <c r="O103" s="14">
        <f t="shared" si="16"/>
        <v>287.30769230769232</v>
      </c>
      <c r="P103">
        <f t="shared" si="17"/>
        <v>11.49</v>
      </c>
      <c r="Q103" s="14">
        <f t="shared" si="18"/>
        <v>298.79769230769233</v>
      </c>
      <c r="R103" s="14">
        <f t="shared" si="19"/>
        <v>-2.3076923076814637E-3</v>
      </c>
    </row>
    <row r="104" spans="1:18" ht="14.25" customHeight="1">
      <c r="A104" s="4">
        <v>8003</v>
      </c>
      <c r="B104" s="3" t="s">
        <v>4</v>
      </c>
      <c r="C104" s="10" t="s">
        <v>5</v>
      </c>
      <c r="D104" s="5">
        <v>298.8</v>
      </c>
      <c r="E104" s="10">
        <v>992.02</v>
      </c>
      <c r="F104" t="s">
        <v>14</v>
      </c>
      <c r="G104">
        <v>0.27</v>
      </c>
      <c r="H104">
        <v>1.0900000000000001</v>
      </c>
      <c r="I104" s="14">
        <f t="shared" si="10"/>
        <v>51.96542692509167</v>
      </c>
      <c r="J104" s="14">
        <f t="shared" si="12"/>
        <v>935.37768465165004</v>
      </c>
      <c r="K104">
        <f t="shared" si="13"/>
        <v>56.64</v>
      </c>
      <c r="L104" s="14">
        <f t="shared" si="14"/>
        <v>992.01768465165003</v>
      </c>
      <c r="M104" s="14">
        <f t="shared" si="11"/>
        <v>-2.3153483499527283E-3</v>
      </c>
      <c r="N104" s="14">
        <f t="shared" si="15"/>
        <v>62.64150943396227</v>
      </c>
      <c r="O104" s="14">
        <f t="shared" si="16"/>
        <v>281.88679245283021</v>
      </c>
      <c r="P104">
        <f t="shared" si="17"/>
        <v>16.91</v>
      </c>
      <c r="Q104" s="14">
        <f t="shared" si="18"/>
        <v>298.79679245283023</v>
      </c>
      <c r="R104" s="14">
        <f t="shared" si="19"/>
        <v>-3.2075471697794455E-3</v>
      </c>
    </row>
    <row r="105" spans="1:18" ht="14.25" customHeight="1">
      <c r="A105" s="4">
        <v>8004</v>
      </c>
      <c r="B105" s="3" t="s">
        <v>4</v>
      </c>
      <c r="C105" s="10" t="s">
        <v>5</v>
      </c>
      <c r="D105" s="5">
        <v>298.8</v>
      </c>
      <c r="E105" s="10">
        <v>992.02</v>
      </c>
      <c r="F105" t="s">
        <v>14</v>
      </c>
      <c r="G105">
        <v>0.23</v>
      </c>
      <c r="H105">
        <v>0.9</v>
      </c>
      <c r="I105" s="14">
        <f t="shared" si="10"/>
        <v>52.487830687830687</v>
      </c>
      <c r="J105" s="14">
        <f t="shared" si="12"/>
        <v>944.78095238095239</v>
      </c>
      <c r="K105">
        <f t="shared" si="13"/>
        <v>47.24</v>
      </c>
      <c r="L105" s="14">
        <f t="shared" si="14"/>
        <v>992.02095238095239</v>
      </c>
      <c r="M105" s="14">
        <f t="shared" si="11"/>
        <v>9.5238095241256815E-4</v>
      </c>
      <c r="N105" s="14">
        <f t="shared" si="15"/>
        <v>63.171247357293865</v>
      </c>
      <c r="O105" s="14">
        <f t="shared" si="16"/>
        <v>284.27061310782238</v>
      </c>
      <c r="P105">
        <f t="shared" si="17"/>
        <v>14.53</v>
      </c>
      <c r="Q105" s="14">
        <f t="shared" si="18"/>
        <v>298.80061310782236</v>
      </c>
      <c r="R105" s="14">
        <f t="shared" si="19"/>
        <v>6.1310782234613725E-4</v>
      </c>
    </row>
    <row r="106" spans="1:18" ht="14.25" customHeight="1">
      <c r="A106" s="4">
        <v>8011</v>
      </c>
      <c r="B106" s="3" t="s">
        <v>4</v>
      </c>
      <c r="C106" s="10" t="s">
        <v>5</v>
      </c>
      <c r="D106" s="5">
        <v>298.8</v>
      </c>
      <c r="E106" s="10">
        <v>992.02</v>
      </c>
      <c r="F106" t="s">
        <v>14</v>
      </c>
      <c r="G106">
        <v>0.18</v>
      </c>
      <c r="H106">
        <v>0.74</v>
      </c>
      <c r="I106" s="14">
        <f t="shared" si="10"/>
        <v>52.935965848452511</v>
      </c>
      <c r="J106" s="14">
        <f t="shared" si="12"/>
        <v>952.84738527214517</v>
      </c>
      <c r="K106">
        <f t="shared" si="13"/>
        <v>39.17</v>
      </c>
      <c r="L106" s="14">
        <f t="shared" si="14"/>
        <v>992.01738527214513</v>
      </c>
      <c r="M106" s="14">
        <f t="shared" si="11"/>
        <v>-2.6147278548478425E-3</v>
      </c>
      <c r="N106" s="14">
        <f t="shared" si="15"/>
        <v>63.846153846153854</v>
      </c>
      <c r="O106" s="14">
        <f t="shared" si="16"/>
        <v>287.30769230769232</v>
      </c>
      <c r="P106">
        <f t="shared" si="17"/>
        <v>11.49</v>
      </c>
      <c r="Q106" s="14">
        <f t="shared" si="18"/>
        <v>298.79769230769233</v>
      </c>
      <c r="R106" s="14">
        <f t="shared" si="19"/>
        <v>-2.3076923076814637E-3</v>
      </c>
    </row>
    <row r="107" spans="1:18" ht="14.25" customHeight="1">
      <c r="A107" s="4">
        <v>8012</v>
      </c>
      <c r="B107" s="3" t="s">
        <v>4</v>
      </c>
      <c r="C107" s="10" t="s">
        <v>5</v>
      </c>
      <c r="D107" s="5">
        <v>298.8</v>
      </c>
      <c r="E107" s="10">
        <v>992.02</v>
      </c>
      <c r="F107" t="s">
        <v>14</v>
      </c>
      <c r="G107">
        <v>0.18</v>
      </c>
      <c r="H107">
        <v>0.74</v>
      </c>
      <c r="I107" s="14">
        <f t="shared" si="10"/>
        <v>52.935965848452511</v>
      </c>
      <c r="J107" s="14">
        <f t="shared" si="12"/>
        <v>952.84738527214517</v>
      </c>
      <c r="K107">
        <f t="shared" si="13"/>
        <v>39.17</v>
      </c>
      <c r="L107" s="14">
        <f t="shared" si="14"/>
        <v>992.01738527214513</v>
      </c>
      <c r="M107" s="14">
        <f t="shared" si="11"/>
        <v>-2.6147278548478425E-3</v>
      </c>
      <c r="N107" s="14">
        <f t="shared" si="15"/>
        <v>63.846153846153854</v>
      </c>
      <c r="O107" s="14">
        <f t="shared" si="16"/>
        <v>287.30769230769232</v>
      </c>
      <c r="P107">
        <f t="shared" si="17"/>
        <v>11.49</v>
      </c>
      <c r="Q107" s="14">
        <f t="shared" si="18"/>
        <v>298.79769230769233</v>
      </c>
      <c r="R107" s="14">
        <f t="shared" si="19"/>
        <v>-2.3076923076814637E-3</v>
      </c>
    </row>
    <row r="108" spans="1:18" ht="14.25" customHeight="1">
      <c r="A108" s="4">
        <v>8015</v>
      </c>
      <c r="B108" s="3" t="s">
        <v>4</v>
      </c>
      <c r="C108" s="10" t="s">
        <v>5</v>
      </c>
      <c r="D108" s="5">
        <v>298.8</v>
      </c>
      <c r="E108" s="10">
        <v>992.02</v>
      </c>
      <c r="F108" t="s">
        <v>14</v>
      </c>
      <c r="G108">
        <v>0.18</v>
      </c>
      <c r="H108">
        <v>0.74</v>
      </c>
      <c r="I108" s="14">
        <f t="shared" si="10"/>
        <v>52.935965848452511</v>
      </c>
      <c r="J108" s="14">
        <f t="shared" si="12"/>
        <v>952.84738527214517</v>
      </c>
      <c r="K108">
        <f t="shared" si="13"/>
        <v>39.17</v>
      </c>
      <c r="L108" s="14">
        <f t="shared" si="14"/>
        <v>992.01738527214513</v>
      </c>
      <c r="M108" s="14">
        <f t="shared" si="11"/>
        <v>-2.6147278548478425E-3</v>
      </c>
      <c r="N108" s="14">
        <f t="shared" si="15"/>
        <v>63.846153846153854</v>
      </c>
      <c r="O108" s="14">
        <f t="shared" si="16"/>
        <v>287.30769230769232</v>
      </c>
      <c r="P108">
        <f t="shared" si="17"/>
        <v>11.49</v>
      </c>
      <c r="Q108" s="14">
        <f t="shared" si="18"/>
        <v>298.79769230769233</v>
      </c>
      <c r="R108" s="14">
        <f t="shared" si="19"/>
        <v>-2.3076923076814637E-3</v>
      </c>
    </row>
    <row r="109" spans="1:18" ht="14.25" customHeight="1">
      <c r="A109" s="4">
        <v>8016</v>
      </c>
      <c r="B109" s="3" t="s">
        <v>4</v>
      </c>
      <c r="C109" s="10" t="s">
        <v>5</v>
      </c>
      <c r="D109" s="5">
        <v>298.8</v>
      </c>
      <c r="E109" s="10">
        <v>992.02</v>
      </c>
      <c r="F109" t="s">
        <v>14</v>
      </c>
      <c r="G109">
        <v>0.18</v>
      </c>
      <c r="H109">
        <v>0.74</v>
      </c>
      <c r="I109" s="14">
        <f t="shared" si="10"/>
        <v>52.935965848452511</v>
      </c>
      <c r="J109" s="14">
        <f t="shared" si="12"/>
        <v>952.84738527214517</v>
      </c>
      <c r="K109">
        <f t="shared" si="13"/>
        <v>39.17</v>
      </c>
      <c r="L109" s="14">
        <f t="shared" si="14"/>
        <v>992.01738527214513</v>
      </c>
      <c r="M109" s="14">
        <f t="shared" si="11"/>
        <v>-2.6147278548478425E-3</v>
      </c>
      <c r="N109" s="14">
        <f t="shared" si="15"/>
        <v>63.846153846153854</v>
      </c>
      <c r="O109" s="14">
        <f t="shared" si="16"/>
        <v>287.30769230769232</v>
      </c>
      <c r="P109">
        <f t="shared" si="17"/>
        <v>11.49</v>
      </c>
      <c r="Q109" s="14">
        <f t="shared" si="18"/>
        <v>298.79769230769233</v>
      </c>
      <c r="R109" s="14">
        <f t="shared" si="19"/>
        <v>-2.3076923076814637E-3</v>
      </c>
    </row>
    <row r="110" spans="1:18" ht="14.25" customHeight="1">
      <c r="A110" s="4">
        <v>8017</v>
      </c>
      <c r="B110" s="3" t="s">
        <v>4</v>
      </c>
      <c r="C110" s="10" t="s">
        <v>5</v>
      </c>
      <c r="D110" s="5">
        <v>298.8</v>
      </c>
      <c r="E110" s="10">
        <v>992.02</v>
      </c>
      <c r="F110" t="s">
        <v>14</v>
      </c>
      <c r="G110">
        <v>0.25</v>
      </c>
      <c r="H110">
        <v>1</v>
      </c>
      <c r="I110" s="14">
        <f t="shared" si="10"/>
        <v>52.211578947368423</v>
      </c>
      <c r="J110" s="14">
        <f t="shared" si="12"/>
        <v>939.80842105263162</v>
      </c>
      <c r="K110">
        <f t="shared" si="13"/>
        <v>52.21</v>
      </c>
      <c r="L110" s="14">
        <f t="shared" si="14"/>
        <v>992.01842105263165</v>
      </c>
      <c r="M110" s="14">
        <f t="shared" si="11"/>
        <v>-1.5789473683298638E-3</v>
      </c>
      <c r="N110" s="14">
        <f t="shared" si="15"/>
        <v>62.905263157894737</v>
      </c>
      <c r="O110" s="14">
        <f t="shared" si="16"/>
        <v>283.07368421052632</v>
      </c>
      <c r="P110">
        <f t="shared" si="17"/>
        <v>15.73</v>
      </c>
      <c r="Q110" s="14">
        <f t="shared" si="18"/>
        <v>298.80368421052634</v>
      </c>
      <c r="R110" s="14">
        <f t="shared" si="19"/>
        <v>3.6842105263303893E-3</v>
      </c>
    </row>
    <row r="111" spans="1:18" ht="14.25" customHeight="1">
      <c r="A111" s="4">
        <v>8019</v>
      </c>
      <c r="B111" s="3" t="s">
        <v>4</v>
      </c>
      <c r="C111" s="10" t="s">
        <v>5</v>
      </c>
      <c r="D111" s="5">
        <v>298.8</v>
      </c>
      <c r="E111" s="10">
        <v>992.02</v>
      </c>
      <c r="F111" t="s">
        <v>14</v>
      </c>
      <c r="G111">
        <v>0.18</v>
      </c>
      <c r="H111">
        <v>0.74</v>
      </c>
      <c r="I111" s="14">
        <f t="shared" si="10"/>
        <v>52.935965848452511</v>
      </c>
      <c r="J111" s="14">
        <f t="shared" si="12"/>
        <v>952.84738527214517</v>
      </c>
      <c r="K111">
        <f t="shared" si="13"/>
        <v>39.17</v>
      </c>
      <c r="L111" s="14">
        <f t="shared" si="14"/>
        <v>992.01738527214513</v>
      </c>
      <c r="M111" s="14">
        <f t="shared" si="11"/>
        <v>-2.6147278548478425E-3</v>
      </c>
      <c r="N111" s="14">
        <f t="shared" si="15"/>
        <v>63.846153846153854</v>
      </c>
      <c r="O111" s="14">
        <f t="shared" si="16"/>
        <v>287.30769230769232</v>
      </c>
      <c r="P111">
        <f t="shared" si="17"/>
        <v>11.49</v>
      </c>
      <c r="Q111" s="14">
        <f t="shared" si="18"/>
        <v>298.79769230769233</v>
      </c>
      <c r="R111" s="14">
        <f t="shared" si="19"/>
        <v>-2.3076923076814637E-3</v>
      </c>
    </row>
    <row r="112" spans="1:18" ht="14.25" customHeight="1">
      <c r="A112" s="4">
        <v>8022</v>
      </c>
      <c r="B112" s="6" t="s">
        <v>4</v>
      </c>
      <c r="C112" s="11" t="s">
        <v>5</v>
      </c>
      <c r="D112" s="7">
        <v>298.8</v>
      </c>
      <c r="E112" s="11">
        <v>992.02</v>
      </c>
      <c r="F112" t="s">
        <v>14</v>
      </c>
      <c r="G112">
        <v>0.18</v>
      </c>
      <c r="H112">
        <v>0.74</v>
      </c>
      <c r="I112" s="14">
        <f t="shared" si="10"/>
        <v>52.935965848452511</v>
      </c>
      <c r="J112" s="14">
        <f t="shared" si="12"/>
        <v>952.84738527214517</v>
      </c>
      <c r="K112">
        <f t="shared" si="13"/>
        <v>39.17</v>
      </c>
      <c r="L112" s="14">
        <f t="shared" si="14"/>
        <v>992.01738527214513</v>
      </c>
      <c r="M112" s="14">
        <f t="shared" si="11"/>
        <v>-2.6147278548478425E-3</v>
      </c>
      <c r="N112" s="14">
        <f t="shared" si="15"/>
        <v>63.846153846153854</v>
      </c>
      <c r="O112" s="14">
        <f t="shared" si="16"/>
        <v>287.30769230769232</v>
      </c>
      <c r="P112">
        <f t="shared" si="17"/>
        <v>11.49</v>
      </c>
      <c r="Q112" s="14">
        <f t="shared" si="18"/>
        <v>298.79769230769233</v>
      </c>
      <c r="R112" s="14">
        <f t="shared" si="19"/>
        <v>-2.3076923076814637E-3</v>
      </c>
    </row>
    <row r="113" spans="1:18" ht="14.25" customHeight="1">
      <c r="A113" s="4">
        <v>8023</v>
      </c>
      <c r="B113" s="3" t="s">
        <v>6</v>
      </c>
      <c r="C113" s="10" t="s">
        <v>7</v>
      </c>
      <c r="D113" s="5">
        <v>351.9</v>
      </c>
      <c r="E113" s="10">
        <v>1168.31</v>
      </c>
      <c r="F113" t="s">
        <v>14</v>
      </c>
      <c r="G113">
        <v>0.37</v>
      </c>
      <c r="H113">
        <v>1.49</v>
      </c>
      <c r="I113" s="14">
        <f t="shared" si="10"/>
        <v>59.9440738840431</v>
      </c>
      <c r="J113" s="14">
        <f t="shared" si="12"/>
        <v>1078.9933299127758</v>
      </c>
      <c r="K113">
        <f t="shared" si="13"/>
        <v>89.32</v>
      </c>
      <c r="L113" s="14">
        <f t="shared" si="14"/>
        <v>1168.3133299127758</v>
      </c>
      <c r="M113" s="14">
        <f t="shared" si="11"/>
        <v>3.3299127758255054E-3</v>
      </c>
      <c r="N113" s="14">
        <f t="shared" si="15"/>
        <v>72.258726899383973</v>
      </c>
      <c r="O113" s="14">
        <f t="shared" si="16"/>
        <v>325.16427104722788</v>
      </c>
      <c r="P113">
        <f t="shared" si="17"/>
        <v>26.74</v>
      </c>
      <c r="Q113" s="14">
        <f t="shared" si="18"/>
        <v>351.90427104722789</v>
      </c>
      <c r="R113" s="14">
        <f t="shared" si="19"/>
        <v>4.2710472279168243E-3</v>
      </c>
    </row>
    <row r="114" spans="1:18" ht="14.25" customHeight="1">
      <c r="A114" s="4">
        <v>8028</v>
      </c>
      <c r="B114" s="3" t="s">
        <v>4</v>
      </c>
      <c r="C114" s="10" t="s">
        <v>5</v>
      </c>
      <c r="D114" s="5">
        <v>298.8</v>
      </c>
      <c r="E114" s="10">
        <v>992.02</v>
      </c>
      <c r="F114" t="s">
        <v>14</v>
      </c>
      <c r="G114">
        <v>0.18</v>
      </c>
      <c r="H114">
        <v>0.74</v>
      </c>
      <c r="I114" s="14">
        <f t="shared" si="10"/>
        <v>52.935965848452511</v>
      </c>
      <c r="J114" s="14">
        <f t="shared" si="12"/>
        <v>952.84738527214517</v>
      </c>
      <c r="K114">
        <f t="shared" si="13"/>
        <v>39.17</v>
      </c>
      <c r="L114" s="14">
        <f t="shared" si="14"/>
        <v>992.01738527214513</v>
      </c>
      <c r="M114" s="14">
        <f t="shared" si="11"/>
        <v>-2.6147278548478425E-3</v>
      </c>
      <c r="N114" s="14">
        <f t="shared" si="15"/>
        <v>63.846153846153854</v>
      </c>
      <c r="O114" s="14">
        <f t="shared" si="16"/>
        <v>287.30769230769232</v>
      </c>
      <c r="P114">
        <f t="shared" si="17"/>
        <v>11.49</v>
      </c>
      <c r="Q114" s="14">
        <f t="shared" si="18"/>
        <v>298.79769230769233</v>
      </c>
      <c r="R114" s="14">
        <f t="shared" si="19"/>
        <v>-2.3076923076814637E-3</v>
      </c>
    </row>
    <row r="115" spans="1:18" ht="14.25" customHeight="1">
      <c r="A115" s="4">
        <v>9001</v>
      </c>
      <c r="B115" s="3" t="s">
        <v>6</v>
      </c>
      <c r="C115" s="10" t="s">
        <v>7</v>
      </c>
      <c r="D115" s="5">
        <v>351.9</v>
      </c>
      <c r="E115" s="10">
        <v>1168.31</v>
      </c>
      <c r="F115" t="s">
        <v>12</v>
      </c>
      <c r="G115">
        <v>0.01</v>
      </c>
      <c r="H115">
        <v>0.06</v>
      </c>
      <c r="I115" s="14">
        <f t="shared" si="10"/>
        <v>64.69047619047619</v>
      </c>
      <c r="J115" s="14">
        <f t="shared" si="12"/>
        <v>1164.4285714285713</v>
      </c>
      <c r="K115">
        <f t="shared" si="13"/>
        <v>3.88</v>
      </c>
      <c r="L115" s="14">
        <f t="shared" si="14"/>
        <v>1168.3085714285714</v>
      </c>
      <c r="M115" s="14">
        <f t="shared" si="11"/>
        <v>-1.4285714285051654E-3</v>
      </c>
      <c r="N115" s="14">
        <f t="shared" si="15"/>
        <v>78.026607538802665</v>
      </c>
      <c r="O115" s="14">
        <f t="shared" si="16"/>
        <v>351.11973392461198</v>
      </c>
      <c r="P115">
        <f t="shared" si="17"/>
        <v>0.78</v>
      </c>
      <c r="Q115" s="14">
        <f t="shared" si="18"/>
        <v>351.89973392461195</v>
      </c>
      <c r="R115" s="14">
        <f t="shared" si="19"/>
        <v>-2.6607538802636554E-4</v>
      </c>
    </row>
    <row r="116" spans="1:18" ht="14.25" customHeight="1">
      <c r="A116" s="4">
        <v>9002</v>
      </c>
      <c r="B116" s="3" t="s">
        <v>6</v>
      </c>
      <c r="C116" s="10" t="s">
        <v>7</v>
      </c>
      <c r="D116" s="5">
        <v>351.9</v>
      </c>
      <c r="E116" s="10">
        <v>1168.31</v>
      </c>
      <c r="F116" t="s">
        <v>12</v>
      </c>
      <c r="G116">
        <v>0.01</v>
      </c>
      <c r="H116">
        <v>0.04</v>
      </c>
      <c r="I116" s="14">
        <f t="shared" si="10"/>
        <v>64.762195121951223</v>
      </c>
      <c r="J116" s="14">
        <f t="shared" si="12"/>
        <v>1165.719512195122</v>
      </c>
      <c r="K116">
        <f t="shared" si="13"/>
        <v>2.59</v>
      </c>
      <c r="L116" s="14">
        <f t="shared" si="14"/>
        <v>1168.3095121951219</v>
      </c>
      <c r="M116" s="14">
        <f t="shared" si="11"/>
        <v>-4.8780487804833683E-4</v>
      </c>
      <c r="N116" s="14">
        <f t="shared" si="15"/>
        <v>78.026607538802665</v>
      </c>
      <c r="O116" s="14">
        <f t="shared" si="16"/>
        <v>351.11973392461198</v>
      </c>
      <c r="P116">
        <f t="shared" si="17"/>
        <v>0.78</v>
      </c>
      <c r="Q116" s="14">
        <f t="shared" si="18"/>
        <v>351.89973392461195</v>
      </c>
      <c r="R116" s="14">
        <f t="shared" si="19"/>
        <v>-2.6607538802636554E-4</v>
      </c>
    </row>
    <row r="117" spans="1:18" ht="14.25" customHeight="1">
      <c r="A117" s="4">
        <v>9003</v>
      </c>
      <c r="B117" s="3" t="s">
        <v>6</v>
      </c>
      <c r="C117" s="10" t="s">
        <v>7</v>
      </c>
      <c r="D117" s="5">
        <v>351.9</v>
      </c>
      <c r="E117" s="10">
        <v>1168.31</v>
      </c>
      <c r="F117" t="s">
        <v>12</v>
      </c>
      <c r="G117">
        <v>0</v>
      </c>
      <c r="H117">
        <v>0.02</v>
      </c>
      <c r="I117" s="14">
        <f t="shared" si="10"/>
        <v>64.834073251942286</v>
      </c>
      <c r="J117" s="14">
        <f t="shared" si="12"/>
        <v>1167.0133185349612</v>
      </c>
      <c r="K117">
        <f t="shared" si="13"/>
        <v>1.3</v>
      </c>
      <c r="L117" s="14">
        <f t="shared" si="14"/>
        <v>1168.3133185349611</v>
      </c>
      <c r="M117" s="14">
        <f t="shared" si="11"/>
        <v>3.3185349611812853E-3</v>
      </c>
      <c r="N117" s="14">
        <f t="shared" si="15"/>
        <v>78.199999999999989</v>
      </c>
      <c r="O117" s="14">
        <f t="shared" si="16"/>
        <v>351.9</v>
      </c>
      <c r="P117">
        <f t="shared" si="17"/>
        <v>0</v>
      </c>
      <c r="Q117" s="14">
        <f t="shared" si="18"/>
        <v>351.9</v>
      </c>
      <c r="R117" s="14">
        <f t="shared" si="19"/>
        <v>0</v>
      </c>
    </row>
    <row r="118" spans="1:18" ht="14.25" customHeight="1">
      <c r="A118" s="4">
        <v>9004</v>
      </c>
      <c r="B118" s="3" t="s">
        <v>4</v>
      </c>
      <c r="C118" s="10" t="s">
        <v>5</v>
      </c>
      <c r="D118" s="5">
        <v>298.8</v>
      </c>
      <c r="E118" s="10">
        <v>992.02</v>
      </c>
      <c r="F118" t="s">
        <v>14</v>
      </c>
      <c r="G118">
        <v>0.18</v>
      </c>
      <c r="H118">
        <v>0.74</v>
      </c>
      <c r="I118" s="14">
        <f t="shared" si="10"/>
        <v>52.935965848452511</v>
      </c>
      <c r="J118" s="14">
        <f t="shared" si="12"/>
        <v>952.84738527214517</v>
      </c>
      <c r="K118">
        <f t="shared" si="13"/>
        <v>39.17</v>
      </c>
      <c r="L118" s="14">
        <f t="shared" si="14"/>
        <v>992.01738527214513</v>
      </c>
      <c r="M118" s="14">
        <f t="shared" si="11"/>
        <v>-2.6147278548478425E-3</v>
      </c>
      <c r="N118" s="14">
        <f t="shared" si="15"/>
        <v>63.846153846153854</v>
      </c>
      <c r="O118" s="14">
        <f t="shared" si="16"/>
        <v>287.30769230769232</v>
      </c>
      <c r="P118">
        <f t="shared" si="17"/>
        <v>11.49</v>
      </c>
      <c r="Q118" s="14">
        <f t="shared" si="18"/>
        <v>298.79769230769233</v>
      </c>
      <c r="R118" s="14">
        <f t="shared" si="19"/>
        <v>-2.3076923076814637E-3</v>
      </c>
    </row>
    <row r="119" spans="1:18" ht="14.25" customHeight="1">
      <c r="A119" s="4">
        <v>9005</v>
      </c>
      <c r="B119" s="3" t="s">
        <v>4</v>
      </c>
      <c r="C119" s="10" t="s">
        <v>5</v>
      </c>
      <c r="D119" s="5">
        <v>298.8</v>
      </c>
      <c r="E119" s="10">
        <v>992.02</v>
      </c>
      <c r="F119" t="s">
        <v>14</v>
      </c>
      <c r="G119">
        <v>0.22</v>
      </c>
      <c r="H119">
        <v>0.86</v>
      </c>
      <c r="I119" s="14">
        <f t="shared" si="10"/>
        <v>52.599151643690348</v>
      </c>
      <c r="J119" s="14">
        <f t="shared" si="12"/>
        <v>946.78472958642624</v>
      </c>
      <c r="K119">
        <f t="shared" si="13"/>
        <v>45.24</v>
      </c>
      <c r="L119" s="14">
        <f t="shared" si="14"/>
        <v>992.02472958642625</v>
      </c>
      <c r="M119" s="14">
        <f t="shared" si="11"/>
        <v>4.7295864262650866E-3</v>
      </c>
      <c r="N119" s="14">
        <f t="shared" si="15"/>
        <v>63.30508474576272</v>
      </c>
      <c r="O119" s="14">
        <f t="shared" si="16"/>
        <v>284.87288135593224</v>
      </c>
      <c r="P119">
        <f t="shared" si="17"/>
        <v>13.93</v>
      </c>
      <c r="Q119" s="14">
        <f t="shared" si="18"/>
        <v>298.80288135593224</v>
      </c>
      <c r="R119" s="14">
        <f t="shared" si="19"/>
        <v>2.8813559322315996E-3</v>
      </c>
    </row>
    <row r="120" spans="1:18" ht="14.25" customHeight="1">
      <c r="A120" s="4">
        <v>9010</v>
      </c>
      <c r="B120" s="3" t="s">
        <v>6</v>
      </c>
      <c r="C120" s="10" t="s">
        <v>7</v>
      </c>
      <c r="D120" s="5">
        <v>351.9</v>
      </c>
      <c r="E120" s="10">
        <v>1168.31</v>
      </c>
      <c r="F120" t="s">
        <v>12</v>
      </c>
      <c r="G120">
        <v>0</v>
      </c>
      <c r="H120">
        <v>0.02</v>
      </c>
      <c r="I120" s="14">
        <f t="shared" si="10"/>
        <v>64.834073251942286</v>
      </c>
      <c r="J120" s="14">
        <f t="shared" si="12"/>
        <v>1167.0133185349612</v>
      </c>
      <c r="K120">
        <f t="shared" si="13"/>
        <v>1.3</v>
      </c>
      <c r="L120" s="14">
        <f t="shared" si="14"/>
        <v>1168.3133185349611</v>
      </c>
      <c r="M120" s="14">
        <f t="shared" si="11"/>
        <v>3.3185349611812853E-3</v>
      </c>
      <c r="N120" s="14">
        <f t="shared" si="15"/>
        <v>78.199999999999989</v>
      </c>
      <c r="O120" s="14">
        <f t="shared" si="16"/>
        <v>351.9</v>
      </c>
      <c r="P120">
        <f t="shared" si="17"/>
        <v>0</v>
      </c>
      <c r="Q120" s="14">
        <f t="shared" si="18"/>
        <v>351.9</v>
      </c>
      <c r="R120" s="14">
        <f t="shared" si="19"/>
        <v>0</v>
      </c>
    </row>
    <row r="121" spans="1:18" ht="14.25" customHeight="1">
      <c r="A121" s="4">
        <v>9011</v>
      </c>
      <c r="B121" s="3" t="s">
        <v>4</v>
      </c>
      <c r="C121" s="10" t="s">
        <v>5</v>
      </c>
      <c r="D121" s="5">
        <v>298.8</v>
      </c>
      <c r="E121" s="10">
        <v>992.02</v>
      </c>
      <c r="F121" t="s">
        <v>14</v>
      </c>
      <c r="G121">
        <v>0.28000000000000003</v>
      </c>
      <c r="H121">
        <v>1.1299999999999999</v>
      </c>
      <c r="I121" s="14">
        <f t="shared" si="10"/>
        <v>51.856769472033456</v>
      </c>
      <c r="J121" s="14">
        <f t="shared" si="12"/>
        <v>933.42185049660225</v>
      </c>
      <c r="K121">
        <f t="shared" si="13"/>
        <v>58.6</v>
      </c>
      <c r="L121" s="14">
        <f t="shared" si="14"/>
        <v>992.02185049660227</v>
      </c>
      <c r="M121" s="14">
        <f t="shared" si="11"/>
        <v>1.8504966022874214E-3</v>
      </c>
      <c r="N121" s="14">
        <f t="shared" si="15"/>
        <v>62.510460251046027</v>
      </c>
      <c r="O121" s="14">
        <f t="shared" si="16"/>
        <v>281.29707112970709</v>
      </c>
      <c r="P121">
        <f t="shared" si="17"/>
        <v>17.5</v>
      </c>
      <c r="Q121" s="14">
        <f t="shared" si="18"/>
        <v>298.79707112970709</v>
      </c>
      <c r="R121" s="14">
        <f t="shared" si="19"/>
        <v>-2.9288702929193278E-3</v>
      </c>
    </row>
    <row r="122" spans="1:18" ht="14.25" customHeight="1">
      <c r="A122" s="4">
        <v>9016</v>
      </c>
      <c r="B122" s="3" t="s">
        <v>6</v>
      </c>
      <c r="C122" s="10" t="s">
        <v>7</v>
      </c>
      <c r="D122" s="5">
        <v>351.9</v>
      </c>
      <c r="E122" s="10">
        <v>1168.31</v>
      </c>
      <c r="F122" t="s">
        <v>12</v>
      </c>
      <c r="G122">
        <v>0</v>
      </c>
      <c r="H122">
        <v>0.01</v>
      </c>
      <c r="I122" s="14">
        <f t="shared" si="10"/>
        <v>64.870072182121035</v>
      </c>
      <c r="J122" s="14">
        <f t="shared" si="12"/>
        <v>1167.6612992781786</v>
      </c>
      <c r="K122">
        <f t="shared" si="13"/>
        <v>0.65</v>
      </c>
      <c r="L122" s="14">
        <f t="shared" si="14"/>
        <v>1168.3112992781787</v>
      </c>
      <c r="M122" s="14">
        <f t="shared" si="11"/>
        <v>1.2992781787488639E-3</v>
      </c>
      <c r="N122" s="14">
        <f t="shared" si="15"/>
        <v>78.199999999999989</v>
      </c>
      <c r="O122" s="14">
        <f t="shared" si="16"/>
        <v>351.9</v>
      </c>
      <c r="P122">
        <f t="shared" si="17"/>
        <v>0</v>
      </c>
      <c r="Q122" s="14">
        <f t="shared" si="18"/>
        <v>351.9</v>
      </c>
      <c r="R122" s="14">
        <f t="shared" si="19"/>
        <v>0</v>
      </c>
    </row>
    <row r="123" spans="1:18" ht="14.25" customHeight="1">
      <c r="A123" s="4">
        <v>9017</v>
      </c>
      <c r="B123" s="3" t="s">
        <v>4</v>
      </c>
      <c r="C123" s="10" t="s">
        <v>5</v>
      </c>
      <c r="D123" s="5">
        <v>298.8</v>
      </c>
      <c r="E123" s="10">
        <v>992.02</v>
      </c>
      <c r="F123" t="s">
        <v>14</v>
      </c>
      <c r="G123">
        <v>0.22</v>
      </c>
      <c r="H123">
        <v>0.86</v>
      </c>
      <c r="I123" s="14">
        <f t="shared" si="10"/>
        <v>52.599151643690348</v>
      </c>
      <c r="J123" s="14">
        <f t="shared" si="12"/>
        <v>946.78472958642624</v>
      </c>
      <c r="K123">
        <f t="shared" si="13"/>
        <v>45.24</v>
      </c>
      <c r="L123" s="14">
        <f t="shared" si="14"/>
        <v>992.02472958642625</v>
      </c>
      <c r="M123" s="14">
        <f t="shared" si="11"/>
        <v>4.7295864262650866E-3</v>
      </c>
      <c r="N123" s="14">
        <f t="shared" si="15"/>
        <v>63.30508474576272</v>
      </c>
      <c r="O123" s="14">
        <f t="shared" si="16"/>
        <v>284.87288135593224</v>
      </c>
      <c r="P123">
        <f t="shared" si="17"/>
        <v>13.93</v>
      </c>
      <c r="Q123" s="14">
        <f t="shared" si="18"/>
        <v>298.80288135593224</v>
      </c>
      <c r="R123" s="14">
        <f t="shared" si="19"/>
        <v>2.8813559322315996E-3</v>
      </c>
    </row>
  </sheetData>
  <mergeCells count="1"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110 Conseal</vt:lpstr>
      <vt:lpstr>120 Pilot ACR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Sklep ceny OLICON DELTA 20 czerwca 2022.xlsx</dc:title>
  <dc:creator>m.jarzabek</dc:creator>
  <cp:lastModifiedBy>Marek Jarząbek</cp:lastModifiedBy>
  <dcterms:created xsi:type="dcterms:W3CDTF">2024-04-24T08:56:51Z</dcterms:created>
  <dcterms:modified xsi:type="dcterms:W3CDTF">2025-07-28T16:05:52Z</dcterms:modified>
</cp:coreProperties>
</file>